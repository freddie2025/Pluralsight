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h\Dropbox (Insight)\01--Unshared Insight Documents\Companies\PluralSight\Course\"/>
    </mc:Choice>
  </mc:AlternateContent>
  <xr:revisionPtr revIDLastSave="0" documentId="13_ncr:1_{99B4B25A-7D77-4D5A-BD18-501E39056A50}" xr6:coauthVersionLast="28" xr6:coauthVersionMax="28" xr10:uidLastSave="{00000000-0000-0000-0000-000000000000}"/>
  <bookViews>
    <workbookView xWindow="0" yWindow="0" windowWidth="13680" windowHeight="6390" activeTab="1" xr2:uid="{00000000-000D-0000-FFFF-FFFF00000000}"/>
  </bookViews>
  <sheets>
    <sheet name="Srce" sheetId="1" r:id="rId1"/>
    <sheet name="Dest" sheetId="2" r:id="rId2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2" l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F2" i="2"/>
  <c r="T2" i="1"/>
  <c r="T1" i="1"/>
  <c r="R261" i="1"/>
  <c r="R260" i="1"/>
  <c r="R259" i="1"/>
  <c r="R258" i="1"/>
  <c r="R255" i="1"/>
  <c r="R254" i="1"/>
  <c r="R256" i="1"/>
  <c r="R251" i="1"/>
  <c r="R250" i="1"/>
  <c r="R249" i="1"/>
  <c r="R246" i="1"/>
  <c r="R245" i="1"/>
  <c r="R244" i="1"/>
  <c r="R241" i="1"/>
  <c r="R240" i="1"/>
  <c r="R239" i="1"/>
  <c r="R242" i="1"/>
  <c r="R236" i="1"/>
  <c r="R235" i="1"/>
  <c r="R234" i="1"/>
  <c r="R237" i="1"/>
  <c r="R231" i="1"/>
  <c r="R230" i="1"/>
  <c r="R229" i="1"/>
  <c r="R228" i="1"/>
  <c r="R225" i="1"/>
  <c r="R224" i="1"/>
  <c r="R223" i="1"/>
  <c r="R222" i="1"/>
  <c r="R219" i="1"/>
  <c r="R218" i="1"/>
  <c r="R217" i="1"/>
  <c r="R214" i="1"/>
  <c r="R213" i="1"/>
  <c r="R212" i="1"/>
  <c r="R209" i="1"/>
  <c r="R208" i="1"/>
  <c r="R207" i="1"/>
  <c r="R210" i="1"/>
  <c r="R204" i="1"/>
  <c r="R203" i="1"/>
  <c r="R202" i="1"/>
  <c r="R205" i="1"/>
  <c r="R199" i="1"/>
  <c r="R198" i="1"/>
  <c r="R195" i="1"/>
  <c r="R194" i="1"/>
  <c r="R193" i="1"/>
  <c r="R196" i="1"/>
  <c r="R190" i="1"/>
  <c r="R189" i="1"/>
  <c r="R188" i="1"/>
  <c r="R191" i="1"/>
  <c r="R185" i="1"/>
  <c r="R184" i="1"/>
  <c r="R181" i="1"/>
  <c r="R182" i="1"/>
  <c r="R178" i="1"/>
  <c r="R177" i="1"/>
  <c r="R176" i="1"/>
  <c r="R175" i="1"/>
  <c r="R174" i="1"/>
  <c r="R171" i="1"/>
  <c r="R170" i="1"/>
  <c r="R169" i="1"/>
  <c r="R166" i="1"/>
  <c r="R165" i="1"/>
  <c r="R164" i="1"/>
  <c r="R163" i="1"/>
  <c r="R162" i="1"/>
  <c r="R159" i="1"/>
  <c r="R158" i="1"/>
  <c r="R157" i="1"/>
  <c r="R154" i="1"/>
  <c r="R153" i="1"/>
  <c r="R152" i="1"/>
  <c r="R149" i="1"/>
  <c r="R148" i="1"/>
  <c r="R147" i="1"/>
  <c r="R146" i="1"/>
  <c r="R143" i="1"/>
  <c r="R142" i="1"/>
  <c r="R144" i="1"/>
  <c r="R139" i="1"/>
  <c r="R138" i="1"/>
  <c r="R137" i="1"/>
  <c r="R136" i="1"/>
  <c r="R140" i="1"/>
  <c r="R133" i="1"/>
  <c r="R132" i="1"/>
  <c r="R131" i="1"/>
  <c r="R134" i="1"/>
  <c r="R128" i="1"/>
  <c r="R127" i="1"/>
  <c r="R126" i="1"/>
  <c r="R129" i="1"/>
  <c r="R123" i="1"/>
  <c r="R122" i="1"/>
  <c r="R121" i="1"/>
  <c r="R124" i="1"/>
  <c r="R118" i="1"/>
  <c r="R117" i="1"/>
  <c r="R119" i="1"/>
  <c r="R114" i="1"/>
  <c r="R113" i="1"/>
  <c r="R110" i="1"/>
  <c r="R109" i="1"/>
  <c r="R111" i="1"/>
  <c r="R106" i="1"/>
  <c r="R105" i="1"/>
  <c r="R104" i="1"/>
  <c r="R101" i="1"/>
  <c r="R100" i="1"/>
  <c r="R99" i="1"/>
  <c r="R96" i="1"/>
  <c r="R95" i="1"/>
  <c r="R94" i="1"/>
  <c r="R93" i="1"/>
  <c r="R90" i="1"/>
  <c r="R89" i="1"/>
  <c r="R88" i="1"/>
  <c r="R91" i="1"/>
  <c r="R85" i="1"/>
  <c r="R84" i="1"/>
  <c r="R83" i="1"/>
  <c r="R82" i="1"/>
  <c r="R86" i="1"/>
  <c r="R79" i="1"/>
  <c r="R78" i="1"/>
  <c r="R77" i="1"/>
  <c r="R76" i="1"/>
  <c r="R80" i="1"/>
  <c r="R73" i="1"/>
  <c r="R72" i="1"/>
  <c r="R74" i="1"/>
  <c r="R69" i="1"/>
  <c r="R68" i="1"/>
  <c r="R67" i="1"/>
  <c r="R64" i="1"/>
  <c r="R63" i="1"/>
  <c r="R62" i="1"/>
  <c r="R59" i="1"/>
  <c r="R58" i="1"/>
  <c r="R57" i="1"/>
  <c r="R56" i="1"/>
  <c r="R53" i="1"/>
  <c r="R52" i="1"/>
  <c r="R54" i="1"/>
  <c r="R49" i="1"/>
  <c r="R48" i="1"/>
  <c r="R47" i="1"/>
  <c r="R46" i="1"/>
  <c r="R50" i="1"/>
  <c r="R43" i="1"/>
  <c r="R42" i="1"/>
  <c r="R41" i="1"/>
  <c r="R40" i="1"/>
  <c r="R44" i="1"/>
  <c r="R37" i="1"/>
  <c r="R36" i="1"/>
  <c r="R33" i="1"/>
  <c r="R34" i="1"/>
  <c r="R32" i="1"/>
  <c r="R29" i="1"/>
  <c r="R28" i="1"/>
  <c r="R30" i="1"/>
  <c r="R25" i="1"/>
  <c r="R24" i="1"/>
  <c r="R23" i="1"/>
  <c r="R22" i="1"/>
  <c r="R21" i="1"/>
  <c r="R18" i="1"/>
  <c r="R17" i="1"/>
  <c r="R16" i="1"/>
  <c r="R15" i="1"/>
  <c r="R12" i="1"/>
  <c r="R11" i="1"/>
  <c r="R10" i="1"/>
  <c r="R9" i="1"/>
  <c r="R8" i="1"/>
  <c r="M261" i="1"/>
  <c r="M260" i="1"/>
  <c r="M259" i="1"/>
  <c r="M258" i="1"/>
  <c r="M255" i="1"/>
  <c r="M254" i="1"/>
  <c r="M256" i="1"/>
  <c r="M252" i="1"/>
  <c r="M251" i="1"/>
  <c r="M250" i="1"/>
  <c r="M249" i="1"/>
  <c r="M247" i="1"/>
  <c r="M246" i="1"/>
  <c r="M245" i="1"/>
  <c r="M244" i="1"/>
  <c r="M242" i="1"/>
  <c r="M241" i="1"/>
  <c r="M240" i="1"/>
  <c r="M239" i="1"/>
  <c r="M237" i="1"/>
  <c r="M236" i="1"/>
  <c r="M235" i="1"/>
  <c r="M234" i="1"/>
  <c r="M231" i="1"/>
  <c r="M230" i="1"/>
  <c r="M229" i="1"/>
  <c r="M228" i="1"/>
  <c r="M225" i="1"/>
  <c r="M224" i="1"/>
  <c r="M223" i="1"/>
  <c r="M222" i="1"/>
  <c r="M219" i="1"/>
  <c r="M218" i="1"/>
  <c r="M217" i="1"/>
  <c r="M214" i="1"/>
  <c r="M213" i="1"/>
  <c r="M212" i="1"/>
  <c r="M209" i="1"/>
  <c r="M208" i="1"/>
  <c r="M207" i="1"/>
  <c r="M210" i="1"/>
  <c r="M204" i="1"/>
  <c r="M203" i="1"/>
  <c r="M202" i="1"/>
  <c r="M205" i="1"/>
  <c r="M199" i="1"/>
  <c r="M198" i="1"/>
  <c r="M195" i="1"/>
  <c r="M194" i="1"/>
  <c r="M193" i="1"/>
  <c r="M196" i="1"/>
  <c r="M190" i="1"/>
  <c r="M189" i="1"/>
  <c r="M188" i="1"/>
  <c r="M191" i="1"/>
  <c r="M185" i="1"/>
  <c r="M184" i="1"/>
  <c r="M181" i="1"/>
  <c r="M182" i="1"/>
  <c r="M178" i="1"/>
  <c r="M177" i="1"/>
  <c r="M176" i="1"/>
  <c r="M175" i="1"/>
  <c r="M174" i="1"/>
  <c r="M171" i="1"/>
  <c r="M170" i="1"/>
  <c r="M169" i="1"/>
  <c r="M166" i="1"/>
  <c r="M165" i="1"/>
  <c r="M164" i="1"/>
  <c r="M163" i="1"/>
  <c r="M162" i="1"/>
  <c r="M159" i="1"/>
  <c r="M158" i="1"/>
  <c r="M157" i="1"/>
  <c r="M154" i="1"/>
  <c r="M153" i="1"/>
  <c r="M152" i="1"/>
  <c r="M149" i="1"/>
  <c r="M148" i="1"/>
  <c r="M147" i="1"/>
  <c r="M146" i="1"/>
  <c r="M143" i="1"/>
  <c r="M142" i="1"/>
  <c r="M144" i="1"/>
  <c r="M139" i="1"/>
  <c r="M138" i="1"/>
  <c r="M137" i="1"/>
  <c r="M136" i="1"/>
  <c r="M133" i="1"/>
  <c r="M132" i="1"/>
  <c r="M131" i="1"/>
  <c r="M128" i="1"/>
  <c r="M127" i="1"/>
  <c r="M126" i="1"/>
  <c r="M123" i="1"/>
  <c r="M122" i="1"/>
  <c r="M121" i="1"/>
  <c r="M124" i="1"/>
  <c r="M118" i="1"/>
  <c r="M117" i="1"/>
  <c r="M119" i="1"/>
  <c r="M114" i="1"/>
  <c r="M113" i="1"/>
  <c r="M115" i="1"/>
  <c r="M110" i="1"/>
  <c r="M109" i="1"/>
  <c r="M111" i="1"/>
  <c r="M106" i="1"/>
  <c r="M105" i="1"/>
  <c r="M104" i="1"/>
  <c r="M101" i="1"/>
  <c r="M100" i="1"/>
  <c r="M99" i="1"/>
  <c r="M102" i="1"/>
  <c r="M96" i="1"/>
  <c r="M95" i="1"/>
  <c r="M94" i="1"/>
  <c r="M93" i="1"/>
  <c r="M97" i="1"/>
  <c r="M90" i="1"/>
  <c r="M89" i="1"/>
  <c r="M88" i="1"/>
  <c r="M91" i="1"/>
  <c r="M85" i="1"/>
  <c r="M84" i="1"/>
  <c r="M83" i="1"/>
  <c r="M82" i="1"/>
  <c r="M79" i="1"/>
  <c r="M78" i="1"/>
  <c r="M77" i="1"/>
  <c r="M76" i="1"/>
  <c r="M73" i="1"/>
  <c r="M72" i="1"/>
  <c r="M69" i="1"/>
  <c r="M68" i="1"/>
  <c r="M67" i="1"/>
  <c r="M70" i="1"/>
  <c r="M64" i="1"/>
  <c r="M63" i="1"/>
  <c r="M62" i="1"/>
  <c r="M65" i="1"/>
  <c r="M59" i="1"/>
  <c r="M58" i="1"/>
  <c r="M57" i="1"/>
  <c r="M56" i="1"/>
  <c r="M53" i="1"/>
  <c r="M52" i="1"/>
  <c r="M49" i="1"/>
  <c r="M48" i="1"/>
  <c r="M47" i="1"/>
  <c r="M46" i="1"/>
  <c r="M43" i="1"/>
  <c r="M42" i="1"/>
  <c r="M41" i="1"/>
  <c r="M40" i="1"/>
  <c r="M37" i="1"/>
  <c r="M36" i="1"/>
  <c r="M38" i="1"/>
  <c r="M33" i="1"/>
  <c r="M32" i="1"/>
  <c r="M29" i="1"/>
  <c r="M28" i="1"/>
  <c r="M30" i="1"/>
  <c r="M25" i="1"/>
  <c r="M24" i="1"/>
  <c r="M23" i="1"/>
  <c r="M22" i="1"/>
  <c r="M21" i="1"/>
  <c r="M18" i="1"/>
  <c r="M17" i="1"/>
  <c r="M16" i="1"/>
  <c r="M15" i="1"/>
  <c r="M12" i="1"/>
  <c r="M11" i="1"/>
  <c r="M10" i="1"/>
  <c r="M9" i="1"/>
  <c r="M8" i="1"/>
  <c r="H129" i="1"/>
  <c r="H115" i="1"/>
  <c r="H261" i="1"/>
  <c r="H260" i="1"/>
  <c r="H259" i="1"/>
  <c r="H258" i="1"/>
  <c r="H262" i="1"/>
  <c r="H255" i="1"/>
  <c r="H256" i="1"/>
  <c r="H254" i="1"/>
  <c r="H251" i="1"/>
  <c r="H250" i="1"/>
  <c r="H249" i="1"/>
  <c r="H252" i="1"/>
  <c r="H246" i="1"/>
  <c r="H245" i="1"/>
  <c r="H244" i="1"/>
  <c r="H247" i="1"/>
  <c r="H241" i="1"/>
  <c r="H240" i="1"/>
  <c r="H239" i="1"/>
  <c r="H242" i="1"/>
  <c r="H236" i="1"/>
  <c r="H235" i="1"/>
  <c r="H237" i="1"/>
  <c r="H234" i="1"/>
  <c r="H231" i="1"/>
  <c r="H230" i="1"/>
  <c r="H229" i="1"/>
  <c r="H232" i="1"/>
  <c r="H228" i="1"/>
  <c r="H225" i="1"/>
  <c r="H224" i="1"/>
  <c r="H223" i="1"/>
  <c r="H222" i="1"/>
  <c r="H226" i="1"/>
  <c r="H219" i="1"/>
  <c r="H218" i="1"/>
  <c r="H217" i="1"/>
  <c r="H220" i="1"/>
  <c r="H214" i="1"/>
  <c r="H213" i="1"/>
  <c r="H212" i="1"/>
  <c r="H215" i="1"/>
  <c r="H209" i="1"/>
  <c r="H210" i="1"/>
  <c r="H208" i="1"/>
  <c r="H207" i="1"/>
  <c r="H204" i="1"/>
  <c r="H203" i="1"/>
  <c r="H202" i="1"/>
  <c r="H205" i="1"/>
  <c r="H199" i="1"/>
  <c r="H198" i="1"/>
  <c r="H200" i="1"/>
  <c r="H195" i="1"/>
  <c r="H196" i="1"/>
  <c r="H194" i="1"/>
  <c r="H193" i="1"/>
  <c r="H190" i="1"/>
  <c r="H189" i="1"/>
  <c r="H191" i="1"/>
  <c r="H188" i="1"/>
  <c r="H185" i="1"/>
  <c r="H184" i="1"/>
  <c r="H186" i="1"/>
  <c r="H181" i="1"/>
  <c r="H182" i="1"/>
  <c r="H178" i="1"/>
  <c r="H177" i="1"/>
  <c r="H176" i="1"/>
  <c r="H175" i="1"/>
  <c r="H179" i="1"/>
  <c r="H174" i="1"/>
  <c r="H171" i="1"/>
  <c r="H170" i="1"/>
  <c r="H169" i="1"/>
  <c r="H172" i="1"/>
  <c r="H166" i="1"/>
  <c r="H165" i="1"/>
  <c r="H164" i="1"/>
  <c r="H163" i="1"/>
  <c r="H162" i="1"/>
  <c r="H167" i="1"/>
  <c r="H159" i="1"/>
  <c r="H158" i="1"/>
  <c r="H157" i="1"/>
  <c r="H160" i="1"/>
  <c r="H154" i="1"/>
  <c r="H153" i="1"/>
  <c r="H152" i="1"/>
  <c r="H155" i="1"/>
  <c r="H149" i="1"/>
  <c r="H150" i="1"/>
  <c r="H148" i="1"/>
  <c r="H147" i="1"/>
  <c r="H146" i="1"/>
  <c r="H143" i="1"/>
  <c r="H142" i="1"/>
  <c r="H144" i="1"/>
  <c r="H139" i="1"/>
  <c r="H138" i="1"/>
  <c r="H137" i="1"/>
  <c r="H136" i="1"/>
  <c r="H140" i="1"/>
  <c r="H133" i="1"/>
  <c r="H132" i="1"/>
  <c r="H131" i="1"/>
  <c r="H134" i="1"/>
  <c r="H128" i="1"/>
  <c r="H127" i="1"/>
  <c r="H126" i="1"/>
  <c r="H123" i="1"/>
  <c r="H122" i="1"/>
  <c r="H121" i="1"/>
  <c r="H124" i="1"/>
  <c r="H118" i="1"/>
  <c r="H117" i="1"/>
  <c r="H119" i="1"/>
  <c r="H114" i="1"/>
  <c r="H113" i="1"/>
  <c r="H110" i="1"/>
  <c r="H109" i="1"/>
  <c r="H111" i="1"/>
  <c r="H106" i="1"/>
  <c r="H105" i="1"/>
  <c r="H104" i="1"/>
  <c r="H107" i="1"/>
  <c r="H101" i="1"/>
  <c r="H100" i="1"/>
  <c r="H99" i="1"/>
  <c r="H102" i="1"/>
  <c r="H96" i="1"/>
  <c r="H95" i="1"/>
  <c r="H97" i="1"/>
  <c r="H94" i="1"/>
  <c r="H93" i="1"/>
  <c r="H90" i="1"/>
  <c r="H89" i="1"/>
  <c r="H91" i="1"/>
  <c r="H88" i="1"/>
  <c r="H85" i="1"/>
  <c r="H84" i="1"/>
  <c r="H83" i="1"/>
  <c r="H82" i="1"/>
  <c r="H86" i="1"/>
  <c r="H79" i="1"/>
  <c r="H78" i="1"/>
  <c r="H77" i="1"/>
  <c r="H76" i="1"/>
  <c r="H80" i="1"/>
  <c r="H73" i="1"/>
  <c r="H72" i="1"/>
  <c r="H74" i="1"/>
  <c r="H69" i="1"/>
  <c r="H70" i="1"/>
  <c r="H68" i="1"/>
  <c r="H67" i="1"/>
  <c r="H64" i="1"/>
  <c r="H63" i="1"/>
  <c r="H62" i="1"/>
  <c r="H65" i="1"/>
  <c r="H59" i="1"/>
  <c r="H58" i="1"/>
  <c r="H57" i="1"/>
  <c r="H56" i="1"/>
  <c r="H60" i="1"/>
  <c r="H53" i="1"/>
  <c r="H52" i="1"/>
  <c r="H54" i="1"/>
  <c r="H49" i="1"/>
  <c r="H50" i="1"/>
  <c r="H48" i="1"/>
  <c r="H47" i="1"/>
  <c r="H46" i="1"/>
  <c r="H43" i="1"/>
  <c r="H42" i="1"/>
  <c r="H41" i="1"/>
  <c r="H40" i="1"/>
  <c r="H44" i="1"/>
  <c r="H37" i="1"/>
  <c r="H36" i="1"/>
  <c r="H38" i="1"/>
  <c r="H33" i="1"/>
  <c r="H32" i="1"/>
  <c r="H34" i="1"/>
  <c r="H29" i="1"/>
  <c r="H30" i="1"/>
  <c r="H28" i="1"/>
  <c r="H25" i="1"/>
  <c r="H24" i="1"/>
  <c r="H23" i="1"/>
  <c r="H22" i="1"/>
  <c r="H21" i="1"/>
  <c r="H18" i="1"/>
  <c r="H17" i="1"/>
  <c r="H16" i="1"/>
  <c r="H15" i="1"/>
  <c r="H12" i="1"/>
  <c r="H11" i="1"/>
  <c r="H13" i="1"/>
  <c r="H10" i="1"/>
  <c r="H9" i="1"/>
  <c r="S262" i="1"/>
  <c r="Q262" i="1"/>
  <c r="P262" i="1"/>
  <c r="O262" i="1"/>
  <c r="N262" i="1"/>
  <c r="L262" i="1"/>
  <c r="K262" i="1"/>
  <c r="J262" i="1"/>
  <c r="I262" i="1"/>
  <c r="G262" i="1"/>
  <c r="F262" i="1"/>
  <c r="E262" i="1"/>
  <c r="D262" i="1"/>
  <c r="S256" i="1"/>
  <c r="Q256" i="1"/>
  <c r="P256" i="1"/>
  <c r="O256" i="1"/>
  <c r="N256" i="1"/>
  <c r="L256" i="1"/>
  <c r="K256" i="1"/>
  <c r="J256" i="1"/>
  <c r="I256" i="1"/>
  <c r="G256" i="1"/>
  <c r="F256" i="1"/>
  <c r="E256" i="1"/>
  <c r="D256" i="1"/>
  <c r="S252" i="1"/>
  <c r="Q252" i="1"/>
  <c r="P252" i="1"/>
  <c r="O252" i="1"/>
  <c r="N252" i="1"/>
  <c r="L252" i="1"/>
  <c r="K252" i="1"/>
  <c r="J252" i="1"/>
  <c r="I252" i="1"/>
  <c r="G252" i="1"/>
  <c r="F252" i="1"/>
  <c r="E252" i="1"/>
  <c r="D252" i="1"/>
  <c r="S247" i="1"/>
  <c r="Q247" i="1"/>
  <c r="P247" i="1"/>
  <c r="O247" i="1"/>
  <c r="N247" i="1"/>
  <c r="L247" i="1"/>
  <c r="K247" i="1"/>
  <c r="J247" i="1"/>
  <c r="I247" i="1"/>
  <c r="G247" i="1"/>
  <c r="F247" i="1"/>
  <c r="E247" i="1"/>
  <c r="D247" i="1"/>
  <c r="S242" i="1"/>
  <c r="Q242" i="1"/>
  <c r="P242" i="1"/>
  <c r="O242" i="1"/>
  <c r="N242" i="1"/>
  <c r="L242" i="1"/>
  <c r="K242" i="1"/>
  <c r="J242" i="1"/>
  <c r="I242" i="1"/>
  <c r="G242" i="1"/>
  <c r="F242" i="1"/>
  <c r="E242" i="1"/>
  <c r="D242" i="1"/>
  <c r="S237" i="1"/>
  <c r="Q237" i="1"/>
  <c r="P237" i="1"/>
  <c r="O237" i="1"/>
  <c r="N237" i="1"/>
  <c r="L237" i="1"/>
  <c r="K237" i="1"/>
  <c r="J237" i="1"/>
  <c r="I237" i="1"/>
  <c r="G237" i="1"/>
  <c r="F237" i="1"/>
  <c r="E237" i="1"/>
  <c r="D237" i="1"/>
  <c r="S232" i="1"/>
  <c r="Q232" i="1"/>
  <c r="P232" i="1"/>
  <c r="O232" i="1"/>
  <c r="N232" i="1"/>
  <c r="L232" i="1"/>
  <c r="K232" i="1"/>
  <c r="J232" i="1"/>
  <c r="I232" i="1"/>
  <c r="G232" i="1"/>
  <c r="F232" i="1"/>
  <c r="E232" i="1"/>
  <c r="D232" i="1"/>
  <c r="S226" i="1"/>
  <c r="Q226" i="1"/>
  <c r="P226" i="1"/>
  <c r="O226" i="1"/>
  <c r="N226" i="1"/>
  <c r="L226" i="1"/>
  <c r="K226" i="1"/>
  <c r="J226" i="1"/>
  <c r="I226" i="1"/>
  <c r="G226" i="1"/>
  <c r="F226" i="1"/>
  <c r="E226" i="1"/>
  <c r="D226" i="1"/>
  <c r="S220" i="1"/>
  <c r="Q220" i="1"/>
  <c r="P220" i="1"/>
  <c r="O220" i="1"/>
  <c r="N220" i="1"/>
  <c r="L220" i="1"/>
  <c r="K220" i="1"/>
  <c r="J220" i="1"/>
  <c r="I220" i="1"/>
  <c r="G220" i="1"/>
  <c r="F220" i="1"/>
  <c r="E220" i="1"/>
  <c r="D220" i="1"/>
  <c r="S215" i="1"/>
  <c r="Q215" i="1"/>
  <c r="P215" i="1"/>
  <c r="O215" i="1"/>
  <c r="N215" i="1"/>
  <c r="L215" i="1"/>
  <c r="K215" i="1"/>
  <c r="J215" i="1"/>
  <c r="I215" i="1"/>
  <c r="G215" i="1"/>
  <c r="F215" i="1"/>
  <c r="E215" i="1"/>
  <c r="D215" i="1"/>
  <c r="S210" i="1"/>
  <c r="Q210" i="1"/>
  <c r="P210" i="1"/>
  <c r="O210" i="1"/>
  <c r="N210" i="1"/>
  <c r="L210" i="1"/>
  <c r="K210" i="1"/>
  <c r="J210" i="1"/>
  <c r="I210" i="1"/>
  <c r="G210" i="1"/>
  <c r="F210" i="1"/>
  <c r="E210" i="1"/>
  <c r="D210" i="1"/>
  <c r="S205" i="1"/>
  <c r="Q205" i="1"/>
  <c r="P205" i="1"/>
  <c r="O205" i="1"/>
  <c r="N205" i="1"/>
  <c r="L205" i="1"/>
  <c r="K205" i="1"/>
  <c r="J205" i="1"/>
  <c r="I205" i="1"/>
  <c r="G205" i="1"/>
  <c r="F205" i="1"/>
  <c r="E205" i="1"/>
  <c r="D205" i="1"/>
  <c r="S200" i="1"/>
  <c r="Q200" i="1"/>
  <c r="P200" i="1"/>
  <c r="O200" i="1"/>
  <c r="N200" i="1"/>
  <c r="L200" i="1"/>
  <c r="K200" i="1"/>
  <c r="J200" i="1"/>
  <c r="I200" i="1"/>
  <c r="G200" i="1"/>
  <c r="F200" i="1"/>
  <c r="E200" i="1"/>
  <c r="D200" i="1"/>
  <c r="S196" i="1"/>
  <c r="Q196" i="1"/>
  <c r="P196" i="1"/>
  <c r="O196" i="1"/>
  <c r="N196" i="1"/>
  <c r="L196" i="1"/>
  <c r="K196" i="1"/>
  <c r="J196" i="1"/>
  <c r="I196" i="1"/>
  <c r="G196" i="1"/>
  <c r="F196" i="1"/>
  <c r="E196" i="1"/>
  <c r="D196" i="1"/>
  <c r="S191" i="1"/>
  <c r="Q191" i="1"/>
  <c r="P191" i="1"/>
  <c r="O191" i="1"/>
  <c r="N191" i="1"/>
  <c r="L191" i="1"/>
  <c r="K191" i="1"/>
  <c r="J191" i="1"/>
  <c r="I191" i="1"/>
  <c r="G191" i="1"/>
  <c r="F191" i="1"/>
  <c r="E191" i="1"/>
  <c r="D191" i="1"/>
  <c r="S186" i="1"/>
  <c r="Q186" i="1"/>
  <c r="P186" i="1"/>
  <c r="O186" i="1"/>
  <c r="N186" i="1"/>
  <c r="L186" i="1"/>
  <c r="K186" i="1"/>
  <c r="J186" i="1"/>
  <c r="I186" i="1"/>
  <c r="G186" i="1"/>
  <c r="F186" i="1"/>
  <c r="E186" i="1"/>
  <c r="D186" i="1"/>
  <c r="S182" i="1"/>
  <c r="Q182" i="1"/>
  <c r="P182" i="1"/>
  <c r="O182" i="1"/>
  <c r="N182" i="1"/>
  <c r="L182" i="1"/>
  <c r="K182" i="1"/>
  <c r="J182" i="1"/>
  <c r="I182" i="1"/>
  <c r="G182" i="1"/>
  <c r="F182" i="1"/>
  <c r="E182" i="1"/>
  <c r="D182" i="1"/>
  <c r="S179" i="1"/>
  <c r="Q179" i="1"/>
  <c r="P179" i="1"/>
  <c r="O179" i="1"/>
  <c r="N179" i="1"/>
  <c r="L179" i="1"/>
  <c r="K179" i="1"/>
  <c r="J179" i="1"/>
  <c r="I179" i="1"/>
  <c r="G179" i="1"/>
  <c r="F179" i="1"/>
  <c r="E179" i="1"/>
  <c r="D179" i="1"/>
  <c r="S172" i="1"/>
  <c r="Q172" i="1"/>
  <c r="P172" i="1"/>
  <c r="O172" i="1"/>
  <c r="N172" i="1"/>
  <c r="L172" i="1"/>
  <c r="K172" i="1"/>
  <c r="J172" i="1"/>
  <c r="I172" i="1"/>
  <c r="G172" i="1"/>
  <c r="F172" i="1"/>
  <c r="E172" i="1"/>
  <c r="D172" i="1"/>
  <c r="S167" i="1"/>
  <c r="Q167" i="1"/>
  <c r="P167" i="1"/>
  <c r="O167" i="1"/>
  <c r="N167" i="1"/>
  <c r="L167" i="1"/>
  <c r="K167" i="1"/>
  <c r="J167" i="1"/>
  <c r="I167" i="1"/>
  <c r="G167" i="1"/>
  <c r="F167" i="1"/>
  <c r="E167" i="1"/>
  <c r="D167" i="1"/>
  <c r="S160" i="1"/>
  <c r="Q160" i="1"/>
  <c r="P160" i="1"/>
  <c r="O160" i="1"/>
  <c r="N160" i="1"/>
  <c r="L160" i="1"/>
  <c r="K160" i="1"/>
  <c r="J160" i="1"/>
  <c r="I160" i="1"/>
  <c r="G160" i="1"/>
  <c r="F160" i="1"/>
  <c r="E160" i="1"/>
  <c r="D160" i="1"/>
  <c r="S155" i="1"/>
  <c r="Q155" i="1"/>
  <c r="P155" i="1"/>
  <c r="O155" i="1"/>
  <c r="N155" i="1"/>
  <c r="L155" i="1"/>
  <c r="K155" i="1"/>
  <c r="J155" i="1"/>
  <c r="I155" i="1"/>
  <c r="G155" i="1"/>
  <c r="F155" i="1"/>
  <c r="E155" i="1"/>
  <c r="D155" i="1"/>
  <c r="S150" i="1"/>
  <c r="Q150" i="1"/>
  <c r="P150" i="1"/>
  <c r="O150" i="1"/>
  <c r="N150" i="1"/>
  <c r="L150" i="1"/>
  <c r="K150" i="1"/>
  <c r="J150" i="1"/>
  <c r="I150" i="1"/>
  <c r="G150" i="1"/>
  <c r="F150" i="1"/>
  <c r="E150" i="1"/>
  <c r="D150" i="1"/>
  <c r="S144" i="1"/>
  <c r="Q144" i="1"/>
  <c r="P144" i="1"/>
  <c r="O144" i="1"/>
  <c r="N144" i="1"/>
  <c r="L144" i="1"/>
  <c r="K144" i="1"/>
  <c r="J144" i="1"/>
  <c r="I144" i="1"/>
  <c r="G144" i="1"/>
  <c r="F144" i="1"/>
  <c r="E144" i="1"/>
  <c r="D144" i="1"/>
  <c r="S140" i="1"/>
  <c r="Q140" i="1"/>
  <c r="P140" i="1"/>
  <c r="O140" i="1"/>
  <c r="N140" i="1"/>
  <c r="L140" i="1"/>
  <c r="K140" i="1"/>
  <c r="J140" i="1"/>
  <c r="I140" i="1"/>
  <c r="G140" i="1"/>
  <c r="F140" i="1"/>
  <c r="E140" i="1"/>
  <c r="D140" i="1"/>
  <c r="S134" i="1"/>
  <c r="Q134" i="1"/>
  <c r="P134" i="1"/>
  <c r="O134" i="1"/>
  <c r="N134" i="1"/>
  <c r="L134" i="1"/>
  <c r="K134" i="1"/>
  <c r="J134" i="1"/>
  <c r="I134" i="1"/>
  <c r="G134" i="1"/>
  <c r="F134" i="1"/>
  <c r="E134" i="1"/>
  <c r="D134" i="1"/>
  <c r="S129" i="1"/>
  <c r="Q129" i="1"/>
  <c r="P129" i="1"/>
  <c r="O129" i="1"/>
  <c r="N129" i="1"/>
  <c r="L129" i="1"/>
  <c r="K129" i="1"/>
  <c r="J129" i="1"/>
  <c r="I129" i="1"/>
  <c r="G129" i="1"/>
  <c r="F129" i="1"/>
  <c r="E129" i="1"/>
  <c r="D129" i="1"/>
  <c r="S124" i="1"/>
  <c r="Q124" i="1"/>
  <c r="P124" i="1"/>
  <c r="O124" i="1"/>
  <c r="N124" i="1"/>
  <c r="L124" i="1"/>
  <c r="K124" i="1"/>
  <c r="J124" i="1"/>
  <c r="I124" i="1"/>
  <c r="G124" i="1"/>
  <c r="F124" i="1"/>
  <c r="E124" i="1"/>
  <c r="D124" i="1"/>
  <c r="S119" i="1"/>
  <c r="Q119" i="1"/>
  <c r="P119" i="1"/>
  <c r="O119" i="1"/>
  <c r="N119" i="1"/>
  <c r="L119" i="1"/>
  <c r="K119" i="1"/>
  <c r="J119" i="1"/>
  <c r="I119" i="1"/>
  <c r="G119" i="1"/>
  <c r="F119" i="1"/>
  <c r="E119" i="1"/>
  <c r="D119" i="1"/>
  <c r="S115" i="1"/>
  <c r="Q115" i="1"/>
  <c r="P115" i="1"/>
  <c r="O115" i="1"/>
  <c r="N115" i="1"/>
  <c r="L115" i="1"/>
  <c r="K115" i="1"/>
  <c r="J115" i="1"/>
  <c r="I115" i="1"/>
  <c r="G115" i="1"/>
  <c r="F115" i="1"/>
  <c r="E115" i="1"/>
  <c r="D115" i="1"/>
  <c r="S111" i="1"/>
  <c r="Q111" i="1"/>
  <c r="P111" i="1"/>
  <c r="O111" i="1"/>
  <c r="N111" i="1"/>
  <c r="L111" i="1"/>
  <c r="K111" i="1"/>
  <c r="J111" i="1"/>
  <c r="I111" i="1"/>
  <c r="G111" i="1"/>
  <c r="F111" i="1"/>
  <c r="E111" i="1"/>
  <c r="D111" i="1"/>
  <c r="S107" i="1"/>
  <c r="Q107" i="1"/>
  <c r="P107" i="1"/>
  <c r="O107" i="1"/>
  <c r="N107" i="1"/>
  <c r="L107" i="1"/>
  <c r="K107" i="1"/>
  <c r="J107" i="1"/>
  <c r="I107" i="1"/>
  <c r="G107" i="1"/>
  <c r="F107" i="1"/>
  <c r="E107" i="1"/>
  <c r="D107" i="1"/>
  <c r="S102" i="1"/>
  <c r="Q102" i="1"/>
  <c r="P102" i="1"/>
  <c r="O102" i="1"/>
  <c r="N102" i="1"/>
  <c r="L102" i="1"/>
  <c r="K102" i="1"/>
  <c r="J102" i="1"/>
  <c r="I102" i="1"/>
  <c r="G102" i="1"/>
  <c r="F102" i="1"/>
  <c r="E102" i="1"/>
  <c r="D102" i="1"/>
  <c r="S97" i="1"/>
  <c r="Q97" i="1"/>
  <c r="P97" i="1"/>
  <c r="O97" i="1"/>
  <c r="N97" i="1"/>
  <c r="L97" i="1"/>
  <c r="K97" i="1"/>
  <c r="J97" i="1"/>
  <c r="I97" i="1"/>
  <c r="G97" i="1"/>
  <c r="F97" i="1"/>
  <c r="E97" i="1"/>
  <c r="D97" i="1"/>
  <c r="S91" i="1"/>
  <c r="Q91" i="1"/>
  <c r="P91" i="1"/>
  <c r="O91" i="1"/>
  <c r="N91" i="1"/>
  <c r="L91" i="1"/>
  <c r="K91" i="1"/>
  <c r="J91" i="1"/>
  <c r="I91" i="1"/>
  <c r="G91" i="1"/>
  <c r="F91" i="1"/>
  <c r="E91" i="1"/>
  <c r="D91" i="1"/>
  <c r="S86" i="1"/>
  <c r="Q86" i="1"/>
  <c r="P86" i="1"/>
  <c r="O86" i="1"/>
  <c r="N86" i="1"/>
  <c r="L86" i="1"/>
  <c r="K86" i="1"/>
  <c r="J86" i="1"/>
  <c r="I86" i="1"/>
  <c r="G86" i="1"/>
  <c r="F86" i="1"/>
  <c r="E86" i="1"/>
  <c r="D86" i="1"/>
  <c r="S80" i="1"/>
  <c r="Q80" i="1"/>
  <c r="P80" i="1"/>
  <c r="O80" i="1"/>
  <c r="N80" i="1"/>
  <c r="L80" i="1"/>
  <c r="K80" i="1"/>
  <c r="J80" i="1"/>
  <c r="I80" i="1"/>
  <c r="G80" i="1"/>
  <c r="F80" i="1"/>
  <c r="E80" i="1"/>
  <c r="D80" i="1"/>
  <c r="S74" i="1"/>
  <c r="Q74" i="1"/>
  <c r="P74" i="1"/>
  <c r="O74" i="1"/>
  <c r="N74" i="1"/>
  <c r="L74" i="1"/>
  <c r="K74" i="1"/>
  <c r="J74" i="1"/>
  <c r="I74" i="1"/>
  <c r="G74" i="1"/>
  <c r="F74" i="1"/>
  <c r="E74" i="1"/>
  <c r="D74" i="1"/>
  <c r="S70" i="1"/>
  <c r="Q70" i="1"/>
  <c r="P70" i="1"/>
  <c r="O70" i="1"/>
  <c r="N70" i="1"/>
  <c r="L70" i="1"/>
  <c r="K70" i="1"/>
  <c r="J70" i="1"/>
  <c r="I70" i="1"/>
  <c r="G70" i="1"/>
  <c r="F70" i="1"/>
  <c r="E70" i="1"/>
  <c r="D70" i="1"/>
  <c r="S65" i="1"/>
  <c r="Q65" i="1"/>
  <c r="P65" i="1"/>
  <c r="O65" i="1"/>
  <c r="N65" i="1"/>
  <c r="L65" i="1"/>
  <c r="K65" i="1"/>
  <c r="J65" i="1"/>
  <c r="I65" i="1"/>
  <c r="G65" i="1"/>
  <c r="F65" i="1"/>
  <c r="E65" i="1"/>
  <c r="D65" i="1"/>
  <c r="S60" i="1"/>
  <c r="Q60" i="1"/>
  <c r="P60" i="1"/>
  <c r="O60" i="1"/>
  <c r="N60" i="1"/>
  <c r="L60" i="1"/>
  <c r="K60" i="1"/>
  <c r="J60" i="1"/>
  <c r="I60" i="1"/>
  <c r="G60" i="1"/>
  <c r="F60" i="1"/>
  <c r="E60" i="1"/>
  <c r="D60" i="1"/>
  <c r="S54" i="1"/>
  <c r="Q54" i="1"/>
  <c r="P54" i="1"/>
  <c r="O54" i="1"/>
  <c r="N54" i="1"/>
  <c r="L54" i="1"/>
  <c r="K54" i="1"/>
  <c r="J54" i="1"/>
  <c r="I54" i="1"/>
  <c r="G54" i="1"/>
  <c r="F54" i="1"/>
  <c r="E54" i="1"/>
  <c r="D54" i="1"/>
  <c r="S50" i="1"/>
  <c r="Q50" i="1"/>
  <c r="P50" i="1"/>
  <c r="O50" i="1"/>
  <c r="N50" i="1"/>
  <c r="L50" i="1"/>
  <c r="K50" i="1"/>
  <c r="J50" i="1"/>
  <c r="I50" i="1"/>
  <c r="G50" i="1"/>
  <c r="F50" i="1"/>
  <c r="E50" i="1"/>
  <c r="D50" i="1"/>
  <c r="S44" i="1"/>
  <c r="Q44" i="1"/>
  <c r="P44" i="1"/>
  <c r="O44" i="1"/>
  <c r="N44" i="1"/>
  <c r="L44" i="1"/>
  <c r="K44" i="1"/>
  <c r="J44" i="1"/>
  <c r="I44" i="1"/>
  <c r="G44" i="1"/>
  <c r="F44" i="1"/>
  <c r="E44" i="1"/>
  <c r="D44" i="1"/>
  <c r="S38" i="1"/>
  <c r="Q38" i="1"/>
  <c r="P38" i="1"/>
  <c r="O38" i="1"/>
  <c r="N38" i="1"/>
  <c r="L38" i="1"/>
  <c r="K38" i="1"/>
  <c r="J38" i="1"/>
  <c r="I38" i="1"/>
  <c r="G38" i="1"/>
  <c r="F38" i="1"/>
  <c r="E38" i="1"/>
  <c r="D38" i="1"/>
  <c r="S34" i="1"/>
  <c r="Q34" i="1"/>
  <c r="P34" i="1"/>
  <c r="O34" i="1"/>
  <c r="N34" i="1"/>
  <c r="L34" i="1"/>
  <c r="K34" i="1"/>
  <c r="J34" i="1"/>
  <c r="I34" i="1"/>
  <c r="G34" i="1"/>
  <c r="F34" i="1"/>
  <c r="E34" i="1"/>
  <c r="D34" i="1"/>
  <c r="S30" i="1"/>
  <c r="Q30" i="1"/>
  <c r="P30" i="1"/>
  <c r="O30" i="1"/>
  <c r="N30" i="1"/>
  <c r="L30" i="1"/>
  <c r="K30" i="1"/>
  <c r="J30" i="1"/>
  <c r="I30" i="1"/>
  <c r="G30" i="1"/>
  <c r="F30" i="1"/>
  <c r="E30" i="1"/>
  <c r="D30" i="1"/>
  <c r="S13" i="1"/>
  <c r="Q13" i="1"/>
  <c r="P13" i="1"/>
  <c r="O13" i="1"/>
  <c r="N13" i="1"/>
  <c r="L13" i="1"/>
  <c r="K13" i="1"/>
  <c r="J13" i="1"/>
  <c r="I13" i="1"/>
  <c r="G13" i="1"/>
  <c r="F13" i="1"/>
  <c r="E13" i="1"/>
  <c r="D13" i="1"/>
  <c r="H8" i="1"/>
  <c r="M60" i="1"/>
  <c r="M80" i="1"/>
  <c r="M86" i="1"/>
  <c r="M167" i="1"/>
  <c r="M232" i="1"/>
  <c r="R167" i="1"/>
  <c r="R232" i="1"/>
  <c r="M134" i="1"/>
  <c r="M160" i="1"/>
  <c r="M172" i="1"/>
  <c r="M220" i="1"/>
  <c r="R38" i="1"/>
  <c r="R70" i="1"/>
  <c r="R107" i="1"/>
  <c r="R160" i="1"/>
  <c r="R172" i="1"/>
  <c r="R220" i="1"/>
  <c r="R252" i="1"/>
  <c r="M140" i="1"/>
  <c r="M179" i="1"/>
  <c r="M226" i="1"/>
  <c r="R179" i="1"/>
  <c r="R226" i="1"/>
  <c r="M13" i="1"/>
  <c r="M34" i="1"/>
  <c r="M44" i="1"/>
  <c r="M50" i="1"/>
  <c r="M54" i="1"/>
  <c r="M74" i="1"/>
  <c r="M107" i="1"/>
  <c r="M129" i="1"/>
  <c r="M150" i="1"/>
  <c r="M155" i="1"/>
  <c r="M186" i="1"/>
  <c r="M200" i="1"/>
  <c r="M215" i="1"/>
  <c r="M262" i="1"/>
  <c r="R13" i="1"/>
  <c r="R60" i="1"/>
  <c r="R65" i="1"/>
  <c r="R97" i="1"/>
  <c r="R102" i="1"/>
  <c r="R115" i="1"/>
  <c r="R150" i="1"/>
  <c r="R155" i="1"/>
  <c r="R186" i="1"/>
  <c r="R200" i="1"/>
  <c r="R215" i="1"/>
  <c r="R247" i="1"/>
  <c r="R262" i="1"/>
</calcChain>
</file>

<file path=xl/sharedStrings.xml><?xml version="1.0" encoding="utf-8"?>
<sst xmlns="http://schemas.openxmlformats.org/spreadsheetml/2006/main" count="1594" uniqueCount="27">
  <si>
    <t>Customer</t>
  </si>
  <si>
    <t>Access Fees</t>
  </si>
  <si>
    <t>Maint Fees</t>
  </si>
  <si>
    <t>Customer Total</t>
  </si>
  <si>
    <t>Broadbean - One off Mirco Site Setup Fees</t>
  </si>
  <si>
    <t>ZZZ-One off Micro Site Fees Total</t>
  </si>
  <si>
    <t>ZZZ-Direct Revenue Inv/CN/Adj Total</t>
  </si>
  <si>
    <t>ZZZ-Manual Adjustments Total</t>
  </si>
  <si>
    <t>Discontinued Prod - Job Post/Parsing Packs</t>
  </si>
  <si>
    <t>ZZZ-Old One Off Parsing/Job Post Packs Total</t>
  </si>
  <si>
    <t>CustNum</t>
  </si>
  <si>
    <t>Date</t>
  </si>
  <si>
    <t>Type</t>
  </si>
  <si>
    <t>ZZZ</t>
  </si>
  <si>
    <t>Perpetual License</t>
  </si>
  <si>
    <t>Texting Fees</t>
  </si>
  <si>
    <t>Partner Fees</t>
  </si>
  <si>
    <t>Legacy Product License</t>
  </si>
  <si>
    <t>Pluralsight Course:  Example 2</t>
  </si>
  <si>
    <t>Raw Data</t>
  </si>
  <si>
    <t xml:space="preserve">FY15 </t>
  </si>
  <si>
    <t xml:space="preserve">FY16 </t>
  </si>
  <si>
    <t xml:space="preserve">FY17 </t>
  </si>
  <si>
    <t xml:space="preserve">Value  </t>
  </si>
  <si>
    <t>Output</t>
  </si>
  <si>
    <t>*Note:  Macros Must Be Enabled for Program to Run</t>
  </si>
  <si>
    <t>*Macros Must Be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</si>
</sst>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;[Red]\-&quot;$&quot;#,##0"/>
    <numFmt numFmtId="165" formatCode="mmm\-yy_)"/>
  </numFmts>
  <fonts count="11" x14ac:knownFonts="1">
    <font>
      <sz val="11"/>
      <color theme="1"/>
      <name val="Calibri"/>
      <family val="2"/>
      <scheme val="minor"/>
    </font>
    <font>
      <b/>
      <sz val="12"/>
      <color theme="1"/>
      <name val="Gotham Book"/>
      <family val="3"/>
    </font>
    <font>
      <sz val="11"/>
      <color theme="1"/>
      <name val="Gotham Book"/>
      <family val="3"/>
    </font>
    <font>
      <b/>
      <sz val="11"/>
      <color theme="1"/>
      <name val="Gotham Book"/>
      <family val="3"/>
    </font>
    <font>
      <b/>
      <sz val="11"/>
      <name val="Gotham Book"/>
      <family val="3"/>
    </font>
    <font>
      <sz val="11"/>
      <name val="Gotham Book"/>
      <family val="3"/>
    </font>
    <font>
      <b/>
      <sz val="10"/>
      <name val="Gotham Book"/>
      <family val="3"/>
    </font>
    <font>
      <sz val="10"/>
      <name val="Gotham Book"/>
      <family val="3"/>
    </font>
    <font>
      <b/>
      <sz val="10"/>
      <color theme="1"/>
      <name val="Gotham Book"/>
      <family val="3"/>
    </font>
    <font>
      <sz val="10"/>
      <color theme="1"/>
      <name val="Gotham Book"/>
      <family val="3"/>
    </font>
    <font>
      <i/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4" tint="-0.249977111117893"/>
      </left>
      <right style="hair">
        <color theme="4" tint="-0.249977111117893"/>
      </right>
      <top/>
      <bottom/>
      <diagonal/>
    </border>
    <border>
      <left style="hair">
        <color theme="4" tint="-0.249977111117893"/>
      </left>
      <right style="hair">
        <color theme="4" tint="-0.249977111117893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theme="4" tint="-0.249977111117893"/>
      </left>
      <right style="hair">
        <color theme="4" tint="-0.249977111117893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 applyAlignment="1">
      <alignment horizontal="right"/>
    </xf>
    <xf numFmtId="0" fontId="2" fillId="0" borderId="0" xfId="0" applyFont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right"/>
    </xf>
    <xf numFmtId="0" fontId="3" fillId="0" borderId="0" xfId="0" applyFont="1" applyBorder="1"/>
    <xf numFmtId="0" fontId="3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right"/>
    </xf>
    <xf numFmtId="0" fontId="5" fillId="0" borderId="0" xfId="0" applyFont="1" applyFill="1" applyBorder="1"/>
    <xf numFmtId="0" fontId="6" fillId="0" borderId="0" xfId="0" applyFont="1" applyFill="1" applyAlignment="1">
      <alignment horizontal="left"/>
    </xf>
    <xf numFmtId="164" fontId="6" fillId="0" borderId="0" xfId="0" applyNumberFormat="1" applyFont="1" applyFill="1"/>
    <xf numFmtId="164" fontId="6" fillId="0" borderId="7" xfId="0" applyNumberFormat="1" applyFont="1" applyFill="1" applyBorder="1"/>
    <xf numFmtId="0" fontId="7" fillId="0" borderId="0" xfId="0" applyFont="1" applyFill="1" applyAlignment="1">
      <alignment horizontal="left" indent="1"/>
    </xf>
    <xf numFmtId="37" fontId="7" fillId="0" borderId="0" xfId="0" applyNumberFormat="1" applyFont="1" applyFill="1"/>
    <xf numFmtId="37" fontId="7" fillId="0" borderId="7" xfId="0" applyNumberFormat="1" applyFont="1" applyFill="1" applyBorder="1"/>
    <xf numFmtId="37" fontId="6" fillId="0" borderId="0" xfId="0" applyNumberFormat="1" applyFont="1" applyFill="1"/>
    <xf numFmtId="37" fontId="6" fillId="0" borderId="7" xfId="0" applyNumberFormat="1" applyFont="1" applyFill="1" applyBorder="1"/>
    <xf numFmtId="0" fontId="6" fillId="0" borderId="5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37" fontId="6" fillId="0" borderId="9" xfId="0" applyNumberFormat="1" applyFont="1" applyFill="1" applyBorder="1"/>
    <xf numFmtId="37" fontId="6" fillId="0" borderId="10" xfId="0" applyNumberFormat="1" applyFont="1" applyFill="1" applyBorder="1"/>
    <xf numFmtId="37" fontId="2" fillId="0" borderId="0" xfId="0" applyNumberFormat="1" applyFont="1"/>
    <xf numFmtId="0" fontId="6" fillId="0" borderId="5" xfId="0" applyFont="1" applyFill="1" applyBorder="1" applyAlignment="1">
      <alignment horizontal="right"/>
    </xf>
    <xf numFmtId="165" fontId="6" fillId="0" borderId="5" xfId="0" applyNumberFormat="1" applyFont="1" applyFill="1" applyBorder="1" applyAlignment="1">
      <alignment horizontal="right"/>
    </xf>
    <xf numFmtId="165" fontId="6" fillId="0" borderId="8" xfId="0" applyNumberFormat="1" applyFont="1" applyFill="1" applyBorder="1" applyAlignment="1">
      <alignment horizontal="right"/>
    </xf>
    <xf numFmtId="0" fontId="2" fillId="0" borderId="0" xfId="0" applyFont="1" applyAlignment="1">
      <alignment horizontal="left"/>
    </xf>
    <xf numFmtId="7" fontId="2" fillId="0" borderId="0" xfId="0" applyNumberFormat="1" applyFont="1"/>
    <xf numFmtId="14" fontId="2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4" fontId="9" fillId="0" borderId="0" xfId="0" applyNumberFormat="1" applyFont="1" applyAlignment="1">
      <alignment horizontal="left"/>
    </xf>
    <xf numFmtId="0" fontId="9" fillId="0" borderId="0" xfId="0" applyFont="1"/>
    <xf numFmtId="5" fontId="9" fillId="0" borderId="0" xfId="0" applyNumberFormat="1" applyFont="1"/>
    <xf numFmtId="0" fontId="1" fillId="0" borderId="2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10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62"/>
  <sheetViews>
    <sheetView showGridLines="0" zoomScale="90" zoomScaleNormal="90" workbookViewId="0">
      <selection activeCell="H2" sqref="H2"/>
    </sheetView>
  </sheetViews>
  <sheetFormatPr defaultColWidth="9" defaultRowHeight="13.9" x14ac:dyDescent="0.4"/>
  <cols>
    <col min="1" max="1" width="2.59765625" style="4" customWidth="1"/>
    <col min="2" max="2" width="3.3984375" style="29" customWidth="1"/>
    <col min="3" max="3" width="24" style="4" bestFit="1" customWidth="1"/>
    <col min="4" max="7" width="9.59765625" style="4" customWidth="1"/>
    <col min="8" max="8" width="10.1328125" style="4" customWidth="1"/>
    <col min="9" max="12" width="9.59765625" style="4" customWidth="1"/>
    <col min="13" max="13" width="10.1328125" style="4" customWidth="1"/>
    <col min="14" max="17" width="9.59765625" style="4" customWidth="1"/>
    <col min="18" max="18" width="10.1328125" style="4" customWidth="1"/>
    <col min="19" max="19" width="9.59765625" style="4" customWidth="1"/>
    <col min="20" max="20" width="2.59765625" style="4" customWidth="1"/>
    <col min="21" max="21" width="12.73046875" style="4" bestFit="1" customWidth="1"/>
    <col min="22" max="16384" width="9" style="4"/>
  </cols>
  <sheetData>
    <row r="1" spans="1:36" ht="15.4" x14ac:dyDescent="0.45">
      <c r="A1" s="1" t="s">
        <v>18</v>
      </c>
      <c r="B1" s="39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3" t="str">
        <f ca="1">TEXT(NOW(),"dddd, mmmm d, yyyy")</f>
        <v>Thursday, March 29, 2018</v>
      </c>
    </row>
    <row r="2" spans="1:36" ht="14.25" x14ac:dyDescent="0.45">
      <c r="A2" s="5" t="s">
        <v>19</v>
      </c>
      <c r="B2" s="40"/>
      <c r="C2" s="6"/>
      <c r="D2" s="6"/>
      <c r="E2" s="6"/>
      <c r="F2" s="6"/>
      <c r="G2" s="6"/>
      <c r="H2" s="43" t="s">
        <v>25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 t="str">
        <f ca="1">TEXT(NOW(),"h:mm am/pm")</f>
        <v>6:22 AM</v>
      </c>
    </row>
    <row r="3" spans="1:36" x14ac:dyDescent="0.4">
      <c r="B3" s="4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9"/>
    </row>
    <row r="4" spans="1:36" x14ac:dyDescent="0.4">
      <c r="B4" s="41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9"/>
    </row>
    <row r="5" spans="1:36" x14ac:dyDescent="0.4">
      <c r="B5" s="42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1"/>
      <c r="Q5" s="12"/>
      <c r="R5" s="12"/>
      <c r="S5" s="12"/>
    </row>
    <row r="6" spans="1:36" x14ac:dyDescent="0.4">
      <c r="B6" s="21" t="s">
        <v>0</v>
      </c>
      <c r="C6" s="26"/>
      <c r="D6" s="27">
        <v>41883</v>
      </c>
      <c r="E6" s="27">
        <v>41974</v>
      </c>
      <c r="F6" s="27">
        <v>42064</v>
      </c>
      <c r="G6" s="27">
        <v>42156</v>
      </c>
      <c r="H6" s="28" t="s">
        <v>20</v>
      </c>
      <c r="I6" s="27">
        <v>42248</v>
      </c>
      <c r="J6" s="27">
        <v>42339</v>
      </c>
      <c r="K6" s="27">
        <v>42430</v>
      </c>
      <c r="L6" s="27">
        <v>42522</v>
      </c>
      <c r="M6" s="28" t="s">
        <v>21</v>
      </c>
      <c r="N6" s="27">
        <v>42614</v>
      </c>
      <c r="O6" s="27">
        <v>42705</v>
      </c>
      <c r="P6" s="27">
        <v>42795</v>
      </c>
      <c r="Q6" s="27">
        <v>42887</v>
      </c>
      <c r="R6" s="28" t="s">
        <v>22</v>
      </c>
      <c r="S6" s="27">
        <v>42979</v>
      </c>
    </row>
    <row r="7" spans="1:36" x14ac:dyDescent="0.4">
      <c r="B7" s="13">
        <v>1</v>
      </c>
      <c r="C7" s="13" t="s">
        <v>0</v>
      </c>
      <c r="D7" s="14"/>
      <c r="E7" s="14"/>
      <c r="F7" s="14"/>
      <c r="G7" s="14"/>
      <c r="H7" s="15"/>
      <c r="I7" s="14"/>
      <c r="J7" s="14"/>
      <c r="K7" s="14"/>
      <c r="L7" s="14"/>
      <c r="M7" s="15"/>
      <c r="N7" s="14"/>
      <c r="O7" s="14"/>
      <c r="P7" s="14"/>
      <c r="Q7" s="14"/>
      <c r="R7" s="15"/>
      <c r="S7" s="14"/>
    </row>
    <row r="8" spans="1:36" x14ac:dyDescent="0.4">
      <c r="B8" s="16"/>
      <c r="C8" s="16" t="s">
        <v>1</v>
      </c>
      <c r="D8" s="17">
        <v>141280.36712328769</v>
      </c>
      <c r="E8" s="17">
        <v>141280.36712328769</v>
      </c>
      <c r="F8" s="17">
        <v>138209.05479452055</v>
      </c>
      <c r="G8" s="17">
        <v>139505.55139231976</v>
      </c>
      <c r="H8" s="18">
        <f>SUM(D8:G8)</f>
        <v>560275.34043341572</v>
      </c>
      <c r="I8" s="17">
        <v>140894.35519125691</v>
      </c>
      <c r="J8" s="17">
        <v>140894.35519125682</v>
      </c>
      <c r="K8" s="17">
        <v>139362.89480874315</v>
      </c>
      <c r="L8" s="17">
        <v>139602.05437532745</v>
      </c>
      <c r="M8" s="18">
        <f>SUM(I8:L8)</f>
        <v>560753.65956658428</v>
      </c>
      <c r="N8" s="17">
        <v>141280.36712328769</v>
      </c>
      <c r="O8" s="17">
        <v>402135.46613013675</v>
      </c>
      <c r="P8" s="17">
        <v>671662.94520547963</v>
      </c>
      <c r="Q8" s="17">
        <v>534176.85616438347</v>
      </c>
      <c r="R8" s="18">
        <f>SUM(N8:Q8)</f>
        <v>1749255.6346232875</v>
      </c>
      <c r="S8" s="17">
        <v>540046.93150684948</v>
      </c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</row>
    <row r="9" spans="1:36" x14ac:dyDescent="0.4">
      <c r="B9" s="16"/>
      <c r="C9" s="16" t="s">
        <v>2</v>
      </c>
      <c r="D9" s="17">
        <v>8046.5418082191773</v>
      </c>
      <c r="E9" s="17">
        <v>8046.5418082191791</v>
      </c>
      <c r="F9" s="17">
        <v>7871.6169863013702</v>
      </c>
      <c r="G9" s="17">
        <v>3324.4571711954495</v>
      </c>
      <c r="H9" s="18">
        <f t="shared" ref="H9:H72" si="0">SUM(D9:G9)</f>
        <v>27289.157773935174</v>
      </c>
      <c r="I9" s="17">
        <v>-3159.7014015175005</v>
      </c>
      <c r="J9" s="17">
        <v>-2561.6471265174996</v>
      </c>
      <c r="K9" s="17">
        <v>-2899.5430275000003</v>
      </c>
      <c r="L9" s="17">
        <v>4406.2735640000001</v>
      </c>
      <c r="M9" s="18">
        <f t="shared" ref="M9:M72" si="1">SUM(I9:L9)</f>
        <v>-4214.6179915349994</v>
      </c>
      <c r="N9" s="17">
        <v>8915.8715625000004</v>
      </c>
      <c r="O9" s="17">
        <v>8915.8715624999986</v>
      </c>
      <c r="P9" s="17">
        <v>8722.0481075000007</v>
      </c>
      <c r="Q9" s="17">
        <v>8818.9598787499999</v>
      </c>
      <c r="R9" s="18">
        <f t="shared" ref="R9:R72" si="2">SUM(N9:Q9)</f>
        <v>35372.75111125</v>
      </c>
      <c r="S9" s="17">
        <v>8915.8715625000004</v>
      </c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</row>
    <row r="10" spans="1:36" x14ac:dyDescent="0.4">
      <c r="B10" s="16"/>
      <c r="C10" s="16" t="s">
        <v>16</v>
      </c>
      <c r="D10" s="17">
        <v>16938.103287671234</v>
      </c>
      <c r="E10" s="17">
        <v>16938.082191780821</v>
      </c>
      <c r="F10" s="17">
        <v>16569.863013698628</v>
      </c>
      <c r="G10" s="17">
        <v>16725.299797889063</v>
      </c>
      <c r="H10" s="18">
        <f t="shared" si="0"/>
        <v>67171.348291039743</v>
      </c>
      <c r="I10" s="17">
        <v>16891.803278688523</v>
      </c>
      <c r="J10" s="17">
        <v>16891.803278688527</v>
      </c>
      <c r="K10" s="17">
        <v>16708.196721311477</v>
      </c>
      <c r="L10" s="17">
        <v>18762.109526162134</v>
      </c>
      <c r="M10" s="18">
        <f t="shared" si="1"/>
        <v>69253.912804850654</v>
      </c>
      <c r="N10" s="17">
        <v>21172.674919053559</v>
      </c>
      <c r="O10" s="17">
        <v>42345.198985056057</v>
      </c>
      <c r="P10" s="17">
        <v>41424.657534246566</v>
      </c>
      <c r="Q10" s="17">
        <v>41884.931506849323</v>
      </c>
      <c r="R10" s="18">
        <f t="shared" si="2"/>
        <v>146827.46294520551</v>
      </c>
      <c r="S10" s="17">
        <v>42345.205479452037</v>
      </c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</row>
    <row r="11" spans="1:36" x14ac:dyDescent="0.4">
      <c r="B11" s="16"/>
      <c r="C11" s="16" t="s">
        <v>15</v>
      </c>
      <c r="D11" s="17">
        <v>23450</v>
      </c>
      <c r="E11" s="17">
        <v>47206.25</v>
      </c>
      <c r="F11" s="17">
        <v>23450</v>
      </c>
      <c r="G11" s="17">
        <v>23450</v>
      </c>
      <c r="H11" s="18">
        <f t="shared" si="0"/>
        <v>117556.25</v>
      </c>
      <c r="I11" s="17">
        <v>46900</v>
      </c>
      <c r="J11" s="17">
        <v>46900</v>
      </c>
      <c r="K11" s="17">
        <v>23450</v>
      </c>
      <c r="L11" s="17">
        <v>46900</v>
      </c>
      <c r="M11" s="18">
        <f t="shared" si="1"/>
        <v>164150</v>
      </c>
      <c r="N11" s="17">
        <v>46900</v>
      </c>
      <c r="O11" s="17">
        <v>70350</v>
      </c>
      <c r="P11" s="17">
        <v>46900</v>
      </c>
      <c r="Q11" s="17">
        <v>70350</v>
      </c>
      <c r="R11" s="18">
        <f t="shared" si="2"/>
        <v>234500</v>
      </c>
      <c r="S11" s="17">
        <v>70350</v>
      </c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</row>
    <row r="12" spans="1:36" x14ac:dyDescent="0.4">
      <c r="B12" s="16"/>
      <c r="C12" s="16" t="s">
        <v>14</v>
      </c>
      <c r="D12" s="17">
        <v>0</v>
      </c>
      <c r="E12" s="17">
        <v>0</v>
      </c>
      <c r="F12" s="17">
        <v>0</v>
      </c>
      <c r="G12" s="17">
        <v>0</v>
      </c>
      <c r="H12" s="18">
        <f t="shared" si="0"/>
        <v>0</v>
      </c>
      <c r="I12" s="17">
        <v>0</v>
      </c>
      <c r="J12" s="17">
        <v>0</v>
      </c>
      <c r="K12" s="17">
        <v>1678.25</v>
      </c>
      <c r="L12" s="17">
        <v>0</v>
      </c>
      <c r="M12" s="18">
        <f t="shared" si="1"/>
        <v>1678.25</v>
      </c>
      <c r="N12" s="17">
        <v>0</v>
      </c>
      <c r="O12" s="17">
        <v>0</v>
      </c>
      <c r="P12" s="17">
        <v>0</v>
      </c>
      <c r="Q12" s="17">
        <v>0</v>
      </c>
      <c r="R12" s="18">
        <f t="shared" si="2"/>
        <v>0</v>
      </c>
      <c r="S12" s="17">
        <v>0</v>
      </c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</row>
    <row r="13" spans="1:36" x14ac:dyDescent="0.4">
      <c r="B13" s="13"/>
      <c r="C13" s="22" t="s">
        <v>3</v>
      </c>
      <c r="D13" s="23">
        <f t="shared" ref="D13:S13" si="3">SUM(D8:D12)</f>
        <v>189715.01221917811</v>
      </c>
      <c r="E13" s="23">
        <f t="shared" si="3"/>
        <v>213471.24112328771</v>
      </c>
      <c r="F13" s="23">
        <f t="shared" si="3"/>
        <v>186100.53479452056</v>
      </c>
      <c r="G13" s="23">
        <f t="shared" si="3"/>
        <v>183005.30836140428</v>
      </c>
      <c r="H13" s="24">
        <f t="shared" si="3"/>
        <v>772292.09649839054</v>
      </c>
      <c r="I13" s="23">
        <f t="shared" si="3"/>
        <v>201526.45706842793</v>
      </c>
      <c r="J13" s="23">
        <f t="shared" si="3"/>
        <v>202124.51134342785</v>
      </c>
      <c r="K13" s="23">
        <f t="shared" si="3"/>
        <v>178299.79850255462</v>
      </c>
      <c r="L13" s="23">
        <f t="shared" si="3"/>
        <v>209670.43746548958</v>
      </c>
      <c r="M13" s="24">
        <f t="shared" si="3"/>
        <v>791621.20437989989</v>
      </c>
      <c r="N13" s="23">
        <f t="shared" si="3"/>
        <v>218268.91360484125</v>
      </c>
      <c r="O13" s="23">
        <f t="shared" si="3"/>
        <v>523746.53667769284</v>
      </c>
      <c r="P13" s="23">
        <f t="shared" si="3"/>
        <v>768709.65084722615</v>
      </c>
      <c r="Q13" s="23">
        <f t="shared" si="3"/>
        <v>655230.74754998286</v>
      </c>
      <c r="R13" s="24">
        <f t="shared" si="3"/>
        <v>2165955.8486797428</v>
      </c>
      <c r="S13" s="23">
        <f t="shared" si="3"/>
        <v>661658.00854880153</v>
      </c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</row>
    <row r="14" spans="1:36" x14ac:dyDescent="0.4">
      <c r="B14" s="13">
        <v>2</v>
      </c>
      <c r="C14" s="13" t="s">
        <v>0</v>
      </c>
      <c r="D14" s="19"/>
      <c r="E14" s="19"/>
      <c r="F14" s="19"/>
      <c r="G14" s="19"/>
      <c r="H14" s="20"/>
      <c r="I14" s="19"/>
      <c r="J14" s="19"/>
      <c r="K14" s="19"/>
      <c r="L14" s="19"/>
      <c r="M14" s="20"/>
      <c r="N14" s="19"/>
      <c r="O14" s="19"/>
      <c r="P14" s="19"/>
      <c r="Q14" s="19"/>
      <c r="R14" s="20"/>
      <c r="S14" s="19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</row>
    <row r="15" spans="1:36" x14ac:dyDescent="0.4">
      <c r="B15" s="16"/>
      <c r="C15" s="16" t="s">
        <v>1</v>
      </c>
      <c r="D15" s="17">
        <v>0</v>
      </c>
      <c r="E15" s="17">
        <v>0</v>
      </c>
      <c r="F15" s="17">
        <v>0</v>
      </c>
      <c r="G15" s="17">
        <v>0</v>
      </c>
      <c r="H15" s="18">
        <f t="shared" si="0"/>
        <v>0</v>
      </c>
      <c r="I15" s="17">
        <v>0</v>
      </c>
      <c r="J15" s="17">
        <v>0</v>
      </c>
      <c r="K15" s="17">
        <v>24672.132008196597</v>
      </c>
      <c r="L15" s="17">
        <v>26746.557377049176</v>
      </c>
      <c r="M15" s="18">
        <f t="shared" si="1"/>
        <v>51418.689385245772</v>
      </c>
      <c r="N15" s="17">
        <v>28045.775131869814</v>
      </c>
      <c r="O15" s="17">
        <v>33221.05627175032</v>
      </c>
      <c r="P15" s="17">
        <v>35074.196922000134</v>
      </c>
      <c r="Q15" s="17">
        <v>38456.529523681573</v>
      </c>
      <c r="R15" s="18">
        <f t="shared" si="2"/>
        <v>134797.55784930184</v>
      </c>
      <c r="S15" s="17">
        <v>134551.91251614457</v>
      </c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</row>
    <row r="16" spans="1:36" x14ac:dyDescent="0.4">
      <c r="B16" s="16"/>
      <c r="C16" s="16" t="s">
        <v>2</v>
      </c>
      <c r="D16" s="17">
        <v>61475.09315068493</v>
      </c>
      <c r="E16" s="17">
        <v>61672.790410958878</v>
      </c>
      <c r="F16" s="17">
        <v>69035.054794520547</v>
      </c>
      <c r="G16" s="17">
        <v>69802.110958904115</v>
      </c>
      <c r="H16" s="18">
        <f t="shared" si="0"/>
        <v>261985.04931506846</v>
      </c>
      <c r="I16" s="17">
        <v>70569.157670025001</v>
      </c>
      <c r="J16" s="17">
        <v>69878.944413775011</v>
      </c>
      <c r="K16" s="17">
        <v>76794.17690000002</v>
      </c>
      <c r="L16" s="17">
        <v>76794.180224999989</v>
      </c>
      <c r="M16" s="18">
        <f t="shared" si="1"/>
        <v>294036.45920879999</v>
      </c>
      <c r="N16" s="17">
        <v>77638.071524999992</v>
      </c>
      <c r="O16" s="17">
        <v>78503.31360899999</v>
      </c>
      <c r="P16" s="17">
        <v>76911.004975000018</v>
      </c>
      <c r="Q16" s="17">
        <v>77765.571974999999</v>
      </c>
      <c r="R16" s="18">
        <f t="shared" si="2"/>
        <v>310817.962084</v>
      </c>
      <c r="S16" s="17">
        <v>60593.904875000022</v>
      </c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</row>
    <row r="17" spans="2:36" x14ac:dyDescent="0.4">
      <c r="B17" s="16"/>
      <c r="C17" s="16" t="s">
        <v>15</v>
      </c>
      <c r="D17" s="17">
        <v>0</v>
      </c>
      <c r="E17" s="17">
        <v>56875</v>
      </c>
      <c r="F17" s="17">
        <v>0</v>
      </c>
      <c r="G17" s="17">
        <v>0</v>
      </c>
      <c r="H17" s="18">
        <f t="shared" si="0"/>
        <v>56875</v>
      </c>
      <c r="I17" s="17">
        <v>56875</v>
      </c>
      <c r="J17" s="17">
        <v>0</v>
      </c>
      <c r="K17" s="17">
        <v>56875</v>
      </c>
      <c r="L17" s="17">
        <v>56875</v>
      </c>
      <c r="M17" s="18">
        <f t="shared" si="1"/>
        <v>170625</v>
      </c>
      <c r="N17" s="17">
        <v>56875</v>
      </c>
      <c r="O17" s="17">
        <v>56875</v>
      </c>
      <c r="P17" s="17">
        <v>0</v>
      </c>
      <c r="Q17" s="17">
        <v>56875</v>
      </c>
      <c r="R17" s="18">
        <f t="shared" si="2"/>
        <v>170625</v>
      </c>
      <c r="S17" s="17">
        <v>52500</v>
      </c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</row>
    <row r="18" spans="2:36" x14ac:dyDescent="0.4">
      <c r="B18" s="16"/>
      <c r="C18" s="16" t="s">
        <v>14</v>
      </c>
      <c r="D18" s="17">
        <v>0</v>
      </c>
      <c r="E18" s="17">
        <v>0</v>
      </c>
      <c r="F18" s="17">
        <v>0</v>
      </c>
      <c r="G18" s="17">
        <v>83153</v>
      </c>
      <c r="H18" s="18">
        <f t="shared" si="0"/>
        <v>83153</v>
      </c>
      <c r="I18" s="17">
        <v>0</v>
      </c>
      <c r="J18" s="17">
        <v>0</v>
      </c>
      <c r="K18" s="17">
        <v>0</v>
      </c>
      <c r="L18" s="17">
        <v>0</v>
      </c>
      <c r="M18" s="18">
        <f t="shared" si="1"/>
        <v>0</v>
      </c>
      <c r="N18" s="17">
        <v>0</v>
      </c>
      <c r="O18" s="17">
        <v>0</v>
      </c>
      <c r="P18" s="17">
        <v>0</v>
      </c>
      <c r="Q18" s="17">
        <v>0</v>
      </c>
      <c r="R18" s="18">
        <f t="shared" si="2"/>
        <v>0</v>
      </c>
      <c r="S18" s="17">
        <v>0</v>
      </c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</row>
    <row r="19" spans="2:36" x14ac:dyDescent="0.4">
      <c r="B19" s="13"/>
      <c r="C19" s="22" t="s">
        <v>3</v>
      </c>
      <c r="D19" s="23">
        <f t="shared" ref="D19:S19" si="4">SUM(D15:D18)</f>
        <v>61475.09315068493</v>
      </c>
      <c r="E19" s="23">
        <f t="shared" si="4"/>
        <v>118547.79041095887</v>
      </c>
      <c r="F19" s="23">
        <f t="shared" si="4"/>
        <v>69035.054794520547</v>
      </c>
      <c r="G19" s="23">
        <f t="shared" si="4"/>
        <v>152955.11095890412</v>
      </c>
      <c r="H19" s="24">
        <f t="shared" si="4"/>
        <v>402013.04931506846</v>
      </c>
      <c r="I19" s="23">
        <f t="shared" si="4"/>
        <v>127444.157670025</v>
      </c>
      <c r="J19" s="23">
        <f t="shared" si="4"/>
        <v>69878.944413775011</v>
      </c>
      <c r="K19" s="23">
        <f t="shared" si="4"/>
        <v>158341.30890819663</v>
      </c>
      <c r="L19" s="23">
        <f t="shared" si="4"/>
        <v>160415.73760204916</v>
      </c>
      <c r="M19" s="24">
        <f t="shared" si="4"/>
        <v>516080.14859404578</v>
      </c>
      <c r="N19" s="23">
        <f t="shared" si="4"/>
        <v>162558.84665686981</v>
      </c>
      <c r="O19" s="23">
        <f t="shared" si="4"/>
        <v>168599.36988075031</v>
      </c>
      <c r="P19" s="23">
        <f t="shared" si="4"/>
        <v>111985.20189700015</v>
      </c>
      <c r="Q19" s="23">
        <f t="shared" si="4"/>
        <v>173097.10149868159</v>
      </c>
      <c r="R19" s="24">
        <f t="shared" si="4"/>
        <v>616240.51993330184</v>
      </c>
      <c r="S19" s="23">
        <f t="shared" si="4"/>
        <v>247645.81739114458</v>
      </c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</row>
    <row r="20" spans="2:36" x14ac:dyDescent="0.4">
      <c r="B20" s="13">
        <v>3</v>
      </c>
      <c r="C20" s="13" t="s">
        <v>0</v>
      </c>
      <c r="D20" s="19"/>
      <c r="E20" s="19"/>
      <c r="F20" s="19"/>
      <c r="G20" s="19"/>
      <c r="H20" s="20"/>
      <c r="I20" s="19"/>
      <c r="J20" s="19"/>
      <c r="K20" s="19"/>
      <c r="L20" s="19"/>
      <c r="M20" s="20"/>
      <c r="N20" s="19"/>
      <c r="O20" s="19"/>
      <c r="P20" s="19"/>
      <c r="Q20" s="19"/>
      <c r="R20" s="20"/>
      <c r="S20" s="19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</row>
    <row r="21" spans="2:36" x14ac:dyDescent="0.4">
      <c r="B21" s="16"/>
      <c r="C21" s="16" t="s">
        <v>1</v>
      </c>
      <c r="D21" s="17">
        <v>0</v>
      </c>
      <c r="E21" s="17">
        <v>0</v>
      </c>
      <c r="F21" s="17">
        <v>0</v>
      </c>
      <c r="G21" s="17">
        <v>55463.002602459019</v>
      </c>
      <c r="H21" s="18">
        <f t="shared" si="0"/>
        <v>55463.002602459019</v>
      </c>
      <c r="I21" s="17">
        <v>83790.38232240433</v>
      </c>
      <c r="J21" s="17">
        <v>138332.04898907105</v>
      </c>
      <c r="K21" s="17">
        <v>136828.43976092897</v>
      </c>
      <c r="L21" s="17">
        <v>144333.65548637207</v>
      </c>
      <c r="M21" s="18">
        <f t="shared" si="1"/>
        <v>503284.52655877639</v>
      </c>
      <c r="N21" s="17">
        <v>155307.58322917545</v>
      </c>
      <c r="O21" s="17">
        <v>159529.46128767129</v>
      </c>
      <c r="P21" s="17">
        <v>156061.42952054791</v>
      </c>
      <c r="Q21" s="17">
        <v>157795.4454041096</v>
      </c>
      <c r="R21" s="18">
        <f t="shared" si="2"/>
        <v>628693.91944150429</v>
      </c>
      <c r="S21" s="17">
        <v>256069.11596575327</v>
      </c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</row>
    <row r="22" spans="2:36" x14ac:dyDescent="0.4">
      <c r="B22" s="16"/>
      <c r="C22" s="16" t="s">
        <v>2</v>
      </c>
      <c r="D22" s="17">
        <v>42799.298116438353</v>
      </c>
      <c r="E22" s="17">
        <v>43226.467123287686</v>
      </c>
      <c r="F22" s="17">
        <v>42191.445205479453</v>
      </c>
      <c r="G22" s="17">
        <v>42660.239041095898</v>
      </c>
      <c r="H22" s="18">
        <f t="shared" si="0"/>
        <v>170877.4494863014</v>
      </c>
      <c r="I22" s="17">
        <v>34690.744347875006</v>
      </c>
      <c r="J22" s="17">
        <v>0</v>
      </c>
      <c r="K22" s="17">
        <v>0</v>
      </c>
      <c r="L22" s="17">
        <v>0</v>
      </c>
      <c r="M22" s="18">
        <f t="shared" si="1"/>
        <v>34690.744347875006</v>
      </c>
      <c r="N22" s="17">
        <v>0</v>
      </c>
      <c r="O22" s="17">
        <v>0</v>
      </c>
      <c r="P22" s="17">
        <v>0</v>
      </c>
      <c r="Q22" s="17">
        <v>0</v>
      </c>
      <c r="R22" s="18">
        <f t="shared" si="2"/>
        <v>0</v>
      </c>
      <c r="S22" s="17">
        <v>0</v>
      </c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</row>
    <row r="23" spans="2:36" x14ac:dyDescent="0.4">
      <c r="B23" s="16"/>
      <c r="C23" s="16" t="s">
        <v>16</v>
      </c>
      <c r="D23" s="17">
        <v>0</v>
      </c>
      <c r="E23" s="17">
        <v>0</v>
      </c>
      <c r="F23" s="17">
        <v>3079.8523869415703</v>
      </c>
      <c r="G23" s="17">
        <v>10293.962554942183</v>
      </c>
      <c r="H23" s="18">
        <f t="shared" si="0"/>
        <v>13373.814941883753</v>
      </c>
      <c r="I23" s="17">
        <v>10980.96643297718</v>
      </c>
      <c r="J23" s="17">
        <v>11305.540143888689</v>
      </c>
      <c r="K23" s="17">
        <v>11175.594970695694</v>
      </c>
      <c r="L23" s="17">
        <v>11621.606557377047</v>
      </c>
      <c r="M23" s="18">
        <f t="shared" si="1"/>
        <v>45083.708104938611</v>
      </c>
      <c r="N23" s="17">
        <v>12104.55030536805</v>
      </c>
      <c r="O23" s="17">
        <v>12104.55030536805</v>
      </c>
      <c r="P23" s="17">
        <v>11894.437678057977</v>
      </c>
      <c r="Q23" s="17">
        <v>12041.917808219176</v>
      </c>
      <c r="R23" s="18">
        <f t="shared" si="2"/>
        <v>48145.456097013259</v>
      </c>
      <c r="S23" s="17">
        <v>12174.246575342466</v>
      </c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</row>
    <row r="24" spans="2:36" x14ac:dyDescent="0.4">
      <c r="B24" s="16"/>
      <c r="C24" s="16" t="s">
        <v>15</v>
      </c>
      <c r="D24" s="17">
        <v>46900</v>
      </c>
      <c r="E24" s="17">
        <v>46900</v>
      </c>
      <c r="F24" s="17">
        <v>46900</v>
      </c>
      <c r="G24" s="17">
        <v>46900</v>
      </c>
      <c r="H24" s="18">
        <f t="shared" si="0"/>
        <v>187600</v>
      </c>
      <c r="I24" s="17">
        <v>70350</v>
      </c>
      <c r="J24" s="17">
        <v>105000</v>
      </c>
      <c r="K24" s="17">
        <v>52500</v>
      </c>
      <c r="L24" s="17">
        <v>105000</v>
      </c>
      <c r="M24" s="18">
        <f t="shared" si="1"/>
        <v>332850</v>
      </c>
      <c r="N24" s="17">
        <v>105000</v>
      </c>
      <c r="O24" s="17">
        <v>105000</v>
      </c>
      <c r="P24" s="17">
        <v>105000</v>
      </c>
      <c r="Q24" s="17">
        <v>52500</v>
      </c>
      <c r="R24" s="18">
        <f t="shared" si="2"/>
        <v>367500</v>
      </c>
      <c r="S24" s="17">
        <v>52500</v>
      </c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</row>
    <row r="25" spans="2:36" x14ac:dyDescent="0.4">
      <c r="B25" s="16"/>
      <c r="C25" s="16" t="s">
        <v>17</v>
      </c>
      <c r="D25" s="17">
        <v>0</v>
      </c>
      <c r="E25" s="17">
        <v>31860.5</v>
      </c>
      <c r="F25" s="17">
        <v>841.83749999999998</v>
      </c>
      <c r="G25" s="17">
        <v>16604.174999999999</v>
      </c>
      <c r="H25" s="18">
        <f t="shared" si="0"/>
        <v>49306.512499999997</v>
      </c>
      <c r="I25" s="17">
        <v>3751.9824999999996</v>
      </c>
      <c r="J25" s="17">
        <v>36529.482500000006</v>
      </c>
      <c r="K25" s="17">
        <v>2406.1624999999995</v>
      </c>
      <c r="L25" s="17">
        <v>-32777.5</v>
      </c>
      <c r="M25" s="18">
        <f t="shared" si="1"/>
        <v>9910.1275000000023</v>
      </c>
      <c r="N25" s="17">
        <v>0</v>
      </c>
      <c r="O25" s="17">
        <v>840</v>
      </c>
      <c r="P25" s="17">
        <v>0</v>
      </c>
      <c r="Q25" s="17">
        <v>0</v>
      </c>
      <c r="R25" s="18">
        <f t="shared" si="2"/>
        <v>840</v>
      </c>
      <c r="S25" s="17">
        <v>0</v>
      </c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</row>
    <row r="26" spans="2:36" x14ac:dyDescent="0.4">
      <c r="B26" s="13"/>
      <c r="C26" s="22" t="s">
        <v>3</v>
      </c>
      <c r="D26" s="23">
        <f t="shared" ref="D26:S26" si="5">SUM(D21:D25)</f>
        <v>89699.298116438353</v>
      </c>
      <c r="E26" s="23">
        <f t="shared" si="5"/>
        <v>121986.96712328769</v>
      </c>
      <c r="F26" s="23">
        <f t="shared" si="5"/>
        <v>93013.135092421027</v>
      </c>
      <c r="G26" s="23">
        <f t="shared" si="5"/>
        <v>171921.37919849707</v>
      </c>
      <c r="H26" s="24">
        <f t="shared" si="5"/>
        <v>476620.77953064418</v>
      </c>
      <c r="I26" s="23">
        <f t="shared" si="5"/>
        <v>203564.07560325653</v>
      </c>
      <c r="J26" s="23">
        <f t="shared" si="5"/>
        <v>291167.07163295971</v>
      </c>
      <c r="K26" s="23">
        <f t="shared" si="5"/>
        <v>202910.19723162468</v>
      </c>
      <c r="L26" s="23">
        <f t="shared" si="5"/>
        <v>228177.7620437491</v>
      </c>
      <c r="M26" s="24">
        <f t="shared" si="5"/>
        <v>925819.10651159007</v>
      </c>
      <c r="N26" s="23">
        <f t="shared" si="5"/>
        <v>272412.13353454351</v>
      </c>
      <c r="O26" s="23">
        <f t="shared" si="5"/>
        <v>277474.01159303938</v>
      </c>
      <c r="P26" s="23">
        <f t="shared" si="5"/>
        <v>272955.86719860591</v>
      </c>
      <c r="Q26" s="23">
        <f t="shared" si="5"/>
        <v>222337.36321232878</v>
      </c>
      <c r="R26" s="24">
        <f t="shared" si="5"/>
        <v>1045179.3755385175</v>
      </c>
      <c r="S26" s="23">
        <f t="shared" si="5"/>
        <v>320743.36254109576</v>
      </c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</row>
    <row r="27" spans="2:36" x14ac:dyDescent="0.4">
      <c r="B27" s="13">
        <v>4</v>
      </c>
      <c r="C27" s="13" t="s">
        <v>0</v>
      </c>
      <c r="D27" s="19"/>
      <c r="E27" s="19"/>
      <c r="F27" s="19"/>
      <c r="G27" s="19"/>
      <c r="H27" s="20"/>
      <c r="I27" s="19"/>
      <c r="J27" s="19"/>
      <c r="K27" s="19"/>
      <c r="L27" s="19"/>
      <c r="M27" s="20"/>
      <c r="N27" s="19"/>
      <c r="O27" s="19"/>
      <c r="P27" s="19"/>
      <c r="Q27" s="19"/>
      <c r="R27" s="20"/>
      <c r="S27" s="19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</row>
    <row r="28" spans="2:36" x14ac:dyDescent="0.4">
      <c r="B28" s="16"/>
      <c r="C28" s="16" t="s">
        <v>1</v>
      </c>
      <c r="D28" s="17">
        <v>0</v>
      </c>
      <c r="E28" s="17">
        <v>0</v>
      </c>
      <c r="F28" s="17">
        <v>0</v>
      </c>
      <c r="G28" s="17">
        <v>0</v>
      </c>
      <c r="H28" s="18">
        <f t="shared" si="0"/>
        <v>0</v>
      </c>
      <c r="I28" s="17">
        <v>0</v>
      </c>
      <c r="J28" s="17">
        <v>0</v>
      </c>
      <c r="K28" s="17">
        <v>0</v>
      </c>
      <c r="L28" s="17">
        <v>0</v>
      </c>
      <c r="M28" s="18">
        <f t="shared" si="1"/>
        <v>0</v>
      </c>
      <c r="N28" s="17">
        <v>0</v>
      </c>
      <c r="O28" s="17">
        <v>163983.64781211206</v>
      </c>
      <c r="P28" s="17">
        <v>145726.08436431387</v>
      </c>
      <c r="Q28" s="17">
        <v>145395.25948505988</v>
      </c>
      <c r="R28" s="18">
        <f t="shared" si="2"/>
        <v>455104.99166148581</v>
      </c>
      <c r="S28" s="17">
        <v>142047.65217413064</v>
      </c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</row>
    <row r="29" spans="2:36" x14ac:dyDescent="0.4">
      <c r="B29" s="16"/>
      <c r="C29" s="16" t="s">
        <v>15</v>
      </c>
      <c r="D29" s="17">
        <v>0</v>
      </c>
      <c r="E29" s="17">
        <v>0</v>
      </c>
      <c r="F29" s="17">
        <v>0</v>
      </c>
      <c r="G29" s="17">
        <v>0</v>
      </c>
      <c r="H29" s="18">
        <f t="shared" si="0"/>
        <v>0</v>
      </c>
      <c r="I29" s="17">
        <v>0</v>
      </c>
      <c r="J29" s="17">
        <v>0</v>
      </c>
      <c r="K29" s="17">
        <v>0</v>
      </c>
      <c r="L29" s="17">
        <v>0</v>
      </c>
      <c r="M29" s="18">
        <f t="shared" si="1"/>
        <v>0</v>
      </c>
      <c r="N29" s="17">
        <v>23537.5</v>
      </c>
      <c r="O29" s="17">
        <v>0</v>
      </c>
      <c r="P29" s="17">
        <v>0</v>
      </c>
      <c r="Q29" s="17">
        <v>0</v>
      </c>
      <c r="R29" s="18">
        <f t="shared" si="2"/>
        <v>23537.5</v>
      </c>
      <c r="S29" s="17">
        <v>0</v>
      </c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</row>
    <row r="30" spans="2:36" x14ac:dyDescent="0.4">
      <c r="B30" s="13"/>
      <c r="C30" s="22" t="s">
        <v>3</v>
      </c>
      <c r="D30" s="23">
        <f t="shared" ref="D30:S30" si="6">SUM(D28:D29)</f>
        <v>0</v>
      </c>
      <c r="E30" s="23">
        <f t="shared" si="6"/>
        <v>0</v>
      </c>
      <c r="F30" s="23">
        <f t="shared" si="6"/>
        <v>0</v>
      </c>
      <c r="G30" s="23">
        <f t="shared" si="6"/>
        <v>0</v>
      </c>
      <c r="H30" s="24">
        <f t="shared" si="6"/>
        <v>0</v>
      </c>
      <c r="I30" s="23">
        <f t="shared" si="6"/>
        <v>0</v>
      </c>
      <c r="J30" s="23">
        <f t="shared" si="6"/>
        <v>0</v>
      </c>
      <c r="K30" s="23">
        <f t="shared" si="6"/>
        <v>0</v>
      </c>
      <c r="L30" s="23">
        <f t="shared" si="6"/>
        <v>0</v>
      </c>
      <c r="M30" s="24">
        <f t="shared" si="6"/>
        <v>0</v>
      </c>
      <c r="N30" s="23">
        <f t="shared" si="6"/>
        <v>23537.5</v>
      </c>
      <c r="O30" s="23">
        <f t="shared" si="6"/>
        <v>163983.64781211206</v>
      </c>
      <c r="P30" s="23">
        <f t="shared" si="6"/>
        <v>145726.08436431387</v>
      </c>
      <c r="Q30" s="23">
        <f t="shared" si="6"/>
        <v>145395.25948505988</v>
      </c>
      <c r="R30" s="24">
        <f t="shared" si="6"/>
        <v>478642.49166148581</v>
      </c>
      <c r="S30" s="23">
        <f t="shared" si="6"/>
        <v>142047.65217413064</v>
      </c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</row>
    <row r="31" spans="2:36" x14ac:dyDescent="0.4">
      <c r="B31" s="13">
        <v>5</v>
      </c>
      <c r="C31" s="13" t="s">
        <v>0</v>
      </c>
      <c r="D31" s="19"/>
      <c r="E31" s="19"/>
      <c r="F31" s="19"/>
      <c r="G31" s="19"/>
      <c r="H31" s="20"/>
      <c r="I31" s="19"/>
      <c r="J31" s="19"/>
      <c r="K31" s="19"/>
      <c r="L31" s="19"/>
      <c r="M31" s="20"/>
      <c r="N31" s="19"/>
      <c r="O31" s="19"/>
      <c r="P31" s="19"/>
      <c r="Q31" s="19"/>
      <c r="R31" s="20"/>
      <c r="S31" s="1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</row>
    <row r="32" spans="2:36" x14ac:dyDescent="0.4">
      <c r="B32" s="16"/>
      <c r="C32" s="16" t="s">
        <v>1</v>
      </c>
      <c r="D32" s="17">
        <v>0</v>
      </c>
      <c r="E32" s="17">
        <v>0</v>
      </c>
      <c r="F32" s="17">
        <v>0</v>
      </c>
      <c r="G32" s="17">
        <v>0</v>
      </c>
      <c r="H32" s="18">
        <f t="shared" si="0"/>
        <v>0</v>
      </c>
      <c r="I32" s="17">
        <v>0</v>
      </c>
      <c r="J32" s="17">
        <v>0</v>
      </c>
      <c r="K32" s="17">
        <v>0</v>
      </c>
      <c r="L32" s="17">
        <v>0</v>
      </c>
      <c r="M32" s="18">
        <f t="shared" si="1"/>
        <v>0</v>
      </c>
      <c r="N32" s="17">
        <v>0</v>
      </c>
      <c r="O32" s="17">
        <v>3236.301369863012</v>
      </c>
      <c r="P32" s="17">
        <v>10787.671232876715</v>
      </c>
      <c r="Q32" s="17">
        <v>24907.534246575346</v>
      </c>
      <c r="R32" s="18">
        <f t="shared" si="2"/>
        <v>38931.506849315076</v>
      </c>
      <c r="S32" s="17">
        <v>14527.397260273976</v>
      </c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</row>
    <row r="33" spans="2:36" x14ac:dyDescent="0.4">
      <c r="B33" s="16"/>
      <c r="C33" s="16" t="s">
        <v>2</v>
      </c>
      <c r="D33" s="17">
        <v>123391.53826712325</v>
      </c>
      <c r="E33" s="17">
        <v>123381.80745205472</v>
      </c>
      <c r="F33" s="17">
        <v>120699.59424657538</v>
      </c>
      <c r="G33" s="17">
        <v>120699.59424657508</v>
      </c>
      <c r="H33" s="18">
        <f t="shared" si="0"/>
        <v>488172.53421232844</v>
      </c>
      <c r="I33" s="17">
        <v>127315.35127654002</v>
      </c>
      <c r="J33" s="17">
        <v>127315.35127654005</v>
      </c>
      <c r="K33" s="17">
        <v>125931.48146950021</v>
      </c>
      <c r="L33" s="17">
        <v>127319.1372004998</v>
      </c>
      <c r="M33" s="18">
        <f t="shared" si="1"/>
        <v>507881.32122308004</v>
      </c>
      <c r="N33" s="17">
        <v>127664.17642125004</v>
      </c>
      <c r="O33" s="17">
        <v>127664.17642124993</v>
      </c>
      <c r="P33" s="17">
        <v>124888.86910849993</v>
      </c>
      <c r="Q33" s="17">
        <v>126272.67674875009</v>
      </c>
      <c r="R33" s="18">
        <f t="shared" si="2"/>
        <v>506489.89869975002</v>
      </c>
      <c r="S33" s="17">
        <v>127310.29532374998</v>
      </c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</row>
    <row r="34" spans="2:36" x14ac:dyDescent="0.4">
      <c r="B34" s="13"/>
      <c r="C34" s="22" t="s">
        <v>3</v>
      </c>
      <c r="D34" s="23">
        <f t="shared" ref="D34:S34" si="7">SUM(D32:D33)</f>
        <v>123391.53826712325</v>
      </c>
      <c r="E34" s="23">
        <f t="shared" si="7"/>
        <v>123381.80745205472</v>
      </c>
      <c r="F34" s="23">
        <f t="shared" si="7"/>
        <v>120699.59424657538</v>
      </c>
      <c r="G34" s="23">
        <f t="shared" si="7"/>
        <v>120699.59424657508</v>
      </c>
      <c r="H34" s="24">
        <f t="shared" si="7"/>
        <v>488172.53421232844</v>
      </c>
      <c r="I34" s="23">
        <f t="shared" si="7"/>
        <v>127315.35127654002</v>
      </c>
      <c r="J34" s="23">
        <f t="shared" si="7"/>
        <v>127315.35127654005</v>
      </c>
      <c r="K34" s="23">
        <f t="shared" si="7"/>
        <v>125931.48146950021</v>
      </c>
      <c r="L34" s="23">
        <f t="shared" si="7"/>
        <v>127319.1372004998</v>
      </c>
      <c r="M34" s="24">
        <f t="shared" si="7"/>
        <v>507881.32122308004</v>
      </c>
      <c r="N34" s="23">
        <f t="shared" si="7"/>
        <v>127664.17642125004</v>
      </c>
      <c r="O34" s="23">
        <f t="shared" si="7"/>
        <v>130900.47779111293</v>
      </c>
      <c r="P34" s="23">
        <f t="shared" si="7"/>
        <v>135676.54034137665</v>
      </c>
      <c r="Q34" s="23">
        <f t="shared" si="7"/>
        <v>151180.21099532544</v>
      </c>
      <c r="R34" s="24">
        <f t="shared" si="7"/>
        <v>545421.40554906509</v>
      </c>
      <c r="S34" s="23">
        <f t="shared" si="7"/>
        <v>141837.69258402396</v>
      </c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</row>
    <row r="35" spans="2:36" x14ac:dyDescent="0.4">
      <c r="B35" s="13"/>
      <c r="C35" s="13" t="s">
        <v>0</v>
      </c>
      <c r="D35" s="19"/>
      <c r="E35" s="19"/>
      <c r="F35" s="19"/>
      <c r="G35" s="19"/>
      <c r="H35" s="20"/>
      <c r="I35" s="19"/>
      <c r="J35" s="19"/>
      <c r="K35" s="19"/>
      <c r="L35" s="19"/>
      <c r="M35" s="20"/>
      <c r="N35" s="19"/>
      <c r="O35" s="19"/>
      <c r="P35" s="19"/>
      <c r="Q35" s="19"/>
      <c r="R35" s="20"/>
      <c r="S35" s="19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</row>
    <row r="36" spans="2:36" x14ac:dyDescent="0.4">
      <c r="B36" s="16"/>
      <c r="C36" s="16" t="s">
        <v>1</v>
      </c>
      <c r="D36" s="17">
        <v>134437.09239130432</v>
      </c>
      <c r="E36" s="17">
        <v>134137.49999999994</v>
      </c>
      <c r="F36" s="17">
        <v>133327.49094202899</v>
      </c>
      <c r="G36" s="17">
        <v>134546.9551282051</v>
      </c>
      <c r="H36" s="18">
        <f t="shared" si="0"/>
        <v>536449.03846153838</v>
      </c>
      <c r="I36" s="17">
        <v>134538.05392976591</v>
      </c>
      <c r="J36" s="17">
        <v>134137.5</v>
      </c>
      <c r="K36" s="17">
        <v>133736.94607023409</v>
      </c>
      <c r="L36" s="17">
        <v>134137.5</v>
      </c>
      <c r="M36" s="18">
        <f t="shared" si="1"/>
        <v>536550</v>
      </c>
      <c r="N36" s="17">
        <v>134538.05392976591</v>
      </c>
      <c r="O36" s="17">
        <v>134137.5</v>
      </c>
      <c r="P36" s="17">
        <v>133327.49094202899</v>
      </c>
      <c r="Q36" s="17">
        <v>134546.9551282051</v>
      </c>
      <c r="R36" s="18">
        <f t="shared" si="2"/>
        <v>536550</v>
      </c>
      <c r="S36" s="17">
        <v>134538.05392976591</v>
      </c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</row>
    <row r="37" spans="2:36" x14ac:dyDescent="0.4">
      <c r="B37" s="16"/>
      <c r="C37" s="16" t="s">
        <v>15</v>
      </c>
      <c r="D37" s="17">
        <v>23450</v>
      </c>
      <c r="E37" s="17">
        <v>0</v>
      </c>
      <c r="F37" s="17">
        <v>0</v>
      </c>
      <c r="G37" s="17">
        <v>0</v>
      </c>
      <c r="H37" s="18">
        <f t="shared" si="0"/>
        <v>23450</v>
      </c>
      <c r="I37" s="17">
        <v>23450</v>
      </c>
      <c r="J37" s="17">
        <v>0</v>
      </c>
      <c r="K37" s="17">
        <v>0</v>
      </c>
      <c r="L37" s="17">
        <v>23450</v>
      </c>
      <c r="M37" s="18">
        <f t="shared" si="1"/>
        <v>46900</v>
      </c>
      <c r="N37" s="17">
        <v>0</v>
      </c>
      <c r="O37" s="17">
        <v>0</v>
      </c>
      <c r="P37" s="17">
        <v>23450</v>
      </c>
      <c r="Q37" s="17">
        <v>0</v>
      </c>
      <c r="R37" s="18">
        <f t="shared" si="2"/>
        <v>23450</v>
      </c>
      <c r="S37" s="17">
        <v>0</v>
      </c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</row>
    <row r="38" spans="2:36" x14ac:dyDescent="0.4">
      <c r="B38" s="13"/>
      <c r="C38" s="22" t="s">
        <v>3</v>
      </c>
      <c r="D38" s="23">
        <f t="shared" ref="D38:S38" si="8">SUM(D36:D37)</f>
        <v>157887.09239130432</v>
      </c>
      <c r="E38" s="23">
        <f t="shared" si="8"/>
        <v>134137.49999999994</v>
      </c>
      <c r="F38" s="23">
        <f t="shared" si="8"/>
        <v>133327.49094202899</v>
      </c>
      <c r="G38" s="23">
        <f t="shared" si="8"/>
        <v>134546.9551282051</v>
      </c>
      <c r="H38" s="24">
        <f t="shared" si="8"/>
        <v>559899.03846153838</v>
      </c>
      <c r="I38" s="23">
        <f t="shared" si="8"/>
        <v>157988.05392976591</v>
      </c>
      <c r="J38" s="23">
        <f t="shared" si="8"/>
        <v>134137.5</v>
      </c>
      <c r="K38" s="23">
        <f t="shared" si="8"/>
        <v>133736.94607023409</v>
      </c>
      <c r="L38" s="23">
        <f t="shared" si="8"/>
        <v>157587.5</v>
      </c>
      <c r="M38" s="24">
        <f t="shared" si="8"/>
        <v>583450</v>
      </c>
      <c r="N38" s="23">
        <f t="shared" si="8"/>
        <v>134538.05392976591</v>
      </c>
      <c r="O38" s="23">
        <f t="shared" si="8"/>
        <v>134137.5</v>
      </c>
      <c r="P38" s="23">
        <f t="shared" si="8"/>
        <v>156777.49094202899</v>
      </c>
      <c r="Q38" s="23">
        <f t="shared" si="8"/>
        <v>134546.9551282051</v>
      </c>
      <c r="R38" s="24">
        <f t="shared" si="8"/>
        <v>560000</v>
      </c>
      <c r="S38" s="23">
        <f t="shared" si="8"/>
        <v>134538.05392976591</v>
      </c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</row>
    <row r="39" spans="2:36" x14ac:dyDescent="0.4">
      <c r="B39" s="13">
        <v>7</v>
      </c>
      <c r="C39" s="13" t="s">
        <v>0</v>
      </c>
      <c r="D39" s="19"/>
      <c r="E39" s="19"/>
      <c r="F39" s="19"/>
      <c r="G39" s="19"/>
      <c r="H39" s="20"/>
      <c r="I39" s="19"/>
      <c r="J39" s="19"/>
      <c r="K39" s="19"/>
      <c r="L39" s="19"/>
      <c r="M39" s="20"/>
      <c r="N39" s="19"/>
      <c r="O39" s="19"/>
      <c r="P39" s="19"/>
      <c r="Q39" s="19"/>
      <c r="R39" s="20"/>
      <c r="S39" s="19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</row>
    <row r="40" spans="2:36" x14ac:dyDescent="0.4">
      <c r="B40" s="16"/>
      <c r="C40" s="16" t="s">
        <v>1</v>
      </c>
      <c r="D40" s="17">
        <v>0</v>
      </c>
      <c r="E40" s="17">
        <v>0</v>
      </c>
      <c r="F40" s="17">
        <v>0</v>
      </c>
      <c r="G40" s="17">
        <v>0</v>
      </c>
      <c r="H40" s="18">
        <f t="shared" si="0"/>
        <v>0</v>
      </c>
      <c r="I40" s="17">
        <v>0</v>
      </c>
      <c r="J40" s="17">
        <v>0</v>
      </c>
      <c r="K40" s="17">
        <v>0</v>
      </c>
      <c r="L40" s="17">
        <v>0</v>
      </c>
      <c r="M40" s="18">
        <f t="shared" si="1"/>
        <v>0</v>
      </c>
      <c r="N40" s="17">
        <v>0</v>
      </c>
      <c r="O40" s="17">
        <v>0</v>
      </c>
      <c r="P40" s="17">
        <v>0</v>
      </c>
      <c r="Q40" s="17">
        <v>6333.0821917808498</v>
      </c>
      <c r="R40" s="18">
        <f t="shared" si="2"/>
        <v>6333.0821917808498</v>
      </c>
      <c r="S40" s="17">
        <v>86937.123287671217</v>
      </c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</row>
    <row r="41" spans="2:36" x14ac:dyDescent="0.4">
      <c r="B41" s="16"/>
      <c r="C41" s="16" t="s">
        <v>2</v>
      </c>
      <c r="D41" s="17">
        <v>42916.865753424645</v>
      </c>
      <c r="E41" s="17">
        <v>42916.865753424659</v>
      </c>
      <c r="F41" s="17">
        <v>41983.890410958906</v>
      </c>
      <c r="G41" s="17">
        <v>42934.072265888171</v>
      </c>
      <c r="H41" s="18">
        <f t="shared" si="0"/>
        <v>170751.69418369638</v>
      </c>
      <c r="I41" s="17">
        <v>47079.567214067494</v>
      </c>
      <c r="J41" s="17">
        <v>47079.567214067494</v>
      </c>
      <c r="K41" s="17">
        <v>46567.8309075</v>
      </c>
      <c r="L41" s="17">
        <v>46597.276249999995</v>
      </c>
      <c r="M41" s="18">
        <f t="shared" si="1"/>
        <v>187324.241585635</v>
      </c>
      <c r="N41" s="17">
        <v>47208.554294999987</v>
      </c>
      <c r="O41" s="17">
        <v>47208.554294999994</v>
      </c>
      <c r="P41" s="17">
        <v>46182.279850000006</v>
      </c>
      <c r="Q41" s="17">
        <v>35919.551937499993</v>
      </c>
      <c r="R41" s="18">
        <f t="shared" si="2"/>
        <v>176518.9403775</v>
      </c>
      <c r="S41" s="17">
        <v>0</v>
      </c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</row>
    <row r="42" spans="2:36" x14ac:dyDescent="0.4">
      <c r="B42" s="16"/>
      <c r="C42" s="16" t="s">
        <v>16</v>
      </c>
      <c r="D42" s="17">
        <v>0</v>
      </c>
      <c r="E42" s="17">
        <v>0</v>
      </c>
      <c r="F42" s="17">
        <v>0</v>
      </c>
      <c r="G42" s="17">
        <v>1861.5983606557393</v>
      </c>
      <c r="H42" s="18">
        <f t="shared" si="0"/>
        <v>1861.5983606557393</v>
      </c>
      <c r="I42" s="17">
        <v>8155.5737704918029</v>
      </c>
      <c r="J42" s="17">
        <v>8155.5737704918029</v>
      </c>
      <c r="K42" s="17">
        <v>9954.9020525715841</v>
      </c>
      <c r="L42" s="17">
        <v>9413.7455121695511</v>
      </c>
      <c r="M42" s="18">
        <f t="shared" si="1"/>
        <v>35679.795105724741</v>
      </c>
      <c r="N42" s="17">
        <v>9540.9041095890389</v>
      </c>
      <c r="O42" s="17">
        <v>9540.9041095890425</v>
      </c>
      <c r="P42" s="17">
        <v>9333.4931506849298</v>
      </c>
      <c r="Q42" s="17">
        <v>10649.565068493157</v>
      </c>
      <c r="R42" s="18">
        <f t="shared" si="2"/>
        <v>39064.86643835617</v>
      </c>
      <c r="S42" s="17">
        <v>10903.890410958902</v>
      </c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</row>
    <row r="43" spans="2:36" x14ac:dyDescent="0.4">
      <c r="B43" s="16"/>
      <c r="C43" s="16" t="s">
        <v>15</v>
      </c>
      <c r="D43" s="17">
        <v>13300</v>
      </c>
      <c r="E43" s="17">
        <v>0</v>
      </c>
      <c r="F43" s="17">
        <v>0</v>
      </c>
      <c r="G43" s="17">
        <v>13300</v>
      </c>
      <c r="H43" s="18">
        <f t="shared" si="0"/>
        <v>26600</v>
      </c>
      <c r="I43" s="17">
        <v>0</v>
      </c>
      <c r="J43" s="17">
        <v>13300</v>
      </c>
      <c r="K43" s="17">
        <v>0</v>
      </c>
      <c r="L43" s="17">
        <v>13300</v>
      </c>
      <c r="M43" s="18">
        <f t="shared" si="1"/>
        <v>26600</v>
      </c>
      <c r="N43" s="17">
        <v>13300</v>
      </c>
      <c r="O43" s="17">
        <v>13300</v>
      </c>
      <c r="P43" s="17">
        <v>13300</v>
      </c>
      <c r="Q43" s="17">
        <v>13300</v>
      </c>
      <c r="R43" s="18">
        <f t="shared" si="2"/>
        <v>53200</v>
      </c>
      <c r="S43" s="17">
        <v>25550</v>
      </c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</row>
    <row r="44" spans="2:36" x14ac:dyDescent="0.4">
      <c r="B44" s="13"/>
      <c r="C44" s="22" t="s">
        <v>3</v>
      </c>
      <c r="D44" s="23">
        <f t="shared" ref="D44:S44" si="9">SUM(D40:D43)</f>
        <v>56216.865753424645</v>
      </c>
      <c r="E44" s="23">
        <f t="shared" si="9"/>
        <v>42916.865753424659</v>
      </c>
      <c r="F44" s="23">
        <f t="shared" si="9"/>
        <v>41983.890410958906</v>
      </c>
      <c r="G44" s="23">
        <f t="shared" si="9"/>
        <v>58095.670626543913</v>
      </c>
      <c r="H44" s="24">
        <f t="shared" si="9"/>
        <v>199213.29254435212</v>
      </c>
      <c r="I44" s="23">
        <f t="shared" si="9"/>
        <v>55235.140984559301</v>
      </c>
      <c r="J44" s="23">
        <f t="shared" si="9"/>
        <v>68535.140984559301</v>
      </c>
      <c r="K44" s="23">
        <f t="shared" si="9"/>
        <v>56522.732960071582</v>
      </c>
      <c r="L44" s="23">
        <f t="shared" si="9"/>
        <v>69311.021762169548</v>
      </c>
      <c r="M44" s="24">
        <f t="shared" si="9"/>
        <v>249604.03669135974</v>
      </c>
      <c r="N44" s="23">
        <f t="shared" si="9"/>
        <v>70049.458404589022</v>
      </c>
      <c r="O44" s="23">
        <f t="shared" si="9"/>
        <v>70049.458404589037</v>
      </c>
      <c r="P44" s="23">
        <f t="shared" si="9"/>
        <v>68815.773000684945</v>
      </c>
      <c r="Q44" s="23">
        <f t="shared" si="9"/>
        <v>66202.199197773996</v>
      </c>
      <c r="R44" s="24">
        <f t="shared" si="9"/>
        <v>275116.88900763704</v>
      </c>
      <c r="S44" s="23">
        <f t="shared" si="9"/>
        <v>123391.01369863012</v>
      </c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</row>
    <row r="45" spans="2:36" x14ac:dyDescent="0.4">
      <c r="B45" s="13">
        <v>8</v>
      </c>
      <c r="C45" s="13" t="s">
        <v>0</v>
      </c>
      <c r="D45" s="19"/>
      <c r="E45" s="19"/>
      <c r="F45" s="19"/>
      <c r="G45" s="19"/>
      <c r="H45" s="20"/>
      <c r="I45" s="19"/>
      <c r="J45" s="19"/>
      <c r="K45" s="19"/>
      <c r="L45" s="19"/>
      <c r="M45" s="20"/>
      <c r="N45" s="19"/>
      <c r="O45" s="19"/>
      <c r="P45" s="19"/>
      <c r="Q45" s="19"/>
      <c r="R45" s="20"/>
      <c r="S45" s="19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</row>
    <row r="46" spans="2:36" x14ac:dyDescent="0.4">
      <c r="B46" s="16"/>
      <c r="C46" s="16" t="s">
        <v>1</v>
      </c>
      <c r="D46" s="17">
        <v>0</v>
      </c>
      <c r="E46" s="17">
        <v>0</v>
      </c>
      <c r="F46" s="17">
        <v>0</v>
      </c>
      <c r="G46" s="17">
        <v>0</v>
      </c>
      <c r="H46" s="18">
        <f t="shared" si="0"/>
        <v>0</v>
      </c>
      <c r="I46" s="17">
        <v>0</v>
      </c>
      <c r="J46" s="17">
        <v>0</v>
      </c>
      <c r="K46" s="17">
        <v>0</v>
      </c>
      <c r="L46" s="17">
        <v>0</v>
      </c>
      <c r="M46" s="18">
        <f t="shared" si="1"/>
        <v>0</v>
      </c>
      <c r="N46" s="17">
        <v>15821.408445393998</v>
      </c>
      <c r="O46" s="17">
        <v>55951.515168689912</v>
      </c>
      <c r="P46" s="17">
        <v>61393.601697561397</v>
      </c>
      <c r="Q46" s="17">
        <v>65165.549023186482</v>
      </c>
      <c r="R46" s="18">
        <f t="shared" si="2"/>
        <v>198332.07433483179</v>
      </c>
      <c r="S46" s="17">
        <v>67692.425665168208</v>
      </c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</row>
    <row r="47" spans="2:36" x14ac:dyDescent="0.4">
      <c r="B47" s="16"/>
      <c r="C47" s="16" t="s">
        <v>2</v>
      </c>
      <c r="D47" s="17">
        <v>11090.157534246573</v>
      </c>
      <c r="E47" s="17">
        <v>16370.391780821918</v>
      </c>
      <c r="F47" s="17">
        <v>16014.513698630137</v>
      </c>
      <c r="G47" s="17">
        <v>16192.452739726024</v>
      </c>
      <c r="H47" s="18">
        <f t="shared" si="0"/>
        <v>59667.515753424654</v>
      </c>
      <c r="I47" s="17">
        <v>16370.39149088</v>
      </c>
      <c r="J47" s="17">
        <v>16370.39149088</v>
      </c>
      <c r="K47" s="17">
        <v>16218.849226999999</v>
      </c>
      <c r="L47" s="17">
        <v>16236.9392675</v>
      </c>
      <c r="M47" s="18">
        <f t="shared" si="1"/>
        <v>65196.571476259996</v>
      </c>
      <c r="N47" s="17">
        <v>12011.973550499997</v>
      </c>
      <c r="O47" s="17">
        <v>0</v>
      </c>
      <c r="P47" s="17">
        <v>0</v>
      </c>
      <c r="Q47" s="17">
        <v>0</v>
      </c>
      <c r="R47" s="18">
        <f t="shared" si="2"/>
        <v>12011.973550499997</v>
      </c>
      <c r="S47" s="17">
        <v>0</v>
      </c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</row>
    <row r="48" spans="2:36" x14ac:dyDescent="0.4">
      <c r="B48" s="16"/>
      <c r="C48" s="16" t="s">
        <v>16</v>
      </c>
      <c r="D48" s="17">
        <v>0</v>
      </c>
      <c r="E48" s="17">
        <v>0</v>
      </c>
      <c r="F48" s="17">
        <v>0</v>
      </c>
      <c r="G48" s="17">
        <v>1243.2172131147536</v>
      </c>
      <c r="H48" s="18">
        <f t="shared" si="0"/>
        <v>1243.2172131147536</v>
      </c>
      <c r="I48" s="17">
        <v>4408.6034118596654</v>
      </c>
      <c r="J48" s="17">
        <v>4878.1605528669934</v>
      </c>
      <c r="K48" s="17">
        <v>4866.2771472027844</v>
      </c>
      <c r="L48" s="17">
        <v>4836.0531133119657</v>
      </c>
      <c r="M48" s="18">
        <f t="shared" si="1"/>
        <v>18989.09422524141</v>
      </c>
      <c r="N48" s="17">
        <v>4816.7671232876728</v>
      </c>
      <c r="O48" s="17">
        <v>5078.1775006461612</v>
      </c>
      <c r="P48" s="17">
        <v>5117.6915869733784</v>
      </c>
      <c r="Q48" s="17">
        <v>5174.0309123804609</v>
      </c>
      <c r="R48" s="18">
        <f t="shared" si="2"/>
        <v>20186.667123287672</v>
      </c>
      <c r="S48" s="17">
        <v>5229.6328767123277</v>
      </c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</row>
    <row r="49" spans="2:36" x14ac:dyDescent="0.4">
      <c r="B49" s="16"/>
      <c r="C49" s="16" t="s">
        <v>15</v>
      </c>
      <c r="D49" s="17">
        <v>7350</v>
      </c>
      <c r="E49" s="17">
        <v>7350</v>
      </c>
      <c r="F49" s="17">
        <v>14000</v>
      </c>
      <c r="G49" s="17">
        <v>7000</v>
      </c>
      <c r="H49" s="18">
        <f t="shared" si="0"/>
        <v>35700</v>
      </c>
      <c r="I49" s="17">
        <v>7000</v>
      </c>
      <c r="J49" s="17">
        <v>14000</v>
      </c>
      <c r="K49" s="17">
        <v>14000</v>
      </c>
      <c r="L49" s="17">
        <v>21000</v>
      </c>
      <c r="M49" s="18">
        <f t="shared" si="1"/>
        <v>56000</v>
      </c>
      <c r="N49" s="17">
        <v>20300</v>
      </c>
      <c r="O49" s="17">
        <v>13300</v>
      </c>
      <c r="P49" s="17">
        <v>13300</v>
      </c>
      <c r="Q49" s="17">
        <v>20300</v>
      </c>
      <c r="R49" s="18">
        <f t="shared" si="2"/>
        <v>67200</v>
      </c>
      <c r="S49" s="17">
        <v>22750</v>
      </c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</row>
    <row r="50" spans="2:36" x14ac:dyDescent="0.4">
      <c r="B50" s="13"/>
      <c r="C50" s="22" t="s">
        <v>3</v>
      </c>
      <c r="D50" s="23">
        <f t="shared" ref="D50:S50" si="10">SUM(D46:D49)</f>
        <v>18440.157534246573</v>
      </c>
      <c r="E50" s="23">
        <f t="shared" si="10"/>
        <v>23720.391780821919</v>
      </c>
      <c r="F50" s="23">
        <f t="shared" si="10"/>
        <v>30014.513698630137</v>
      </c>
      <c r="G50" s="23">
        <f t="shared" si="10"/>
        <v>24435.669952840777</v>
      </c>
      <c r="H50" s="24">
        <f t="shared" si="10"/>
        <v>96610.732966539406</v>
      </c>
      <c r="I50" s="23">
        <f t="shared" si="10"/>
        <v>27778.994902739665</v>
      </c>
      <c r="J50" s="23">
        <f t="shared" si="10"/>
        <v>35248.552043746997</v>
      </c>
      <c r="K50" s="23">
        <f t="shared" si="10"/>
        <v>35085.12637420278</v>
      </c>
      <c r="L50" s="23">
        <f t="shared" si="10"/>
        <v>42072.992380811964</v>
      </c>
      <c r="M50" s="24">
        <f t="shared" si="10"/>
        <v>140185.66570150142</v>
      </c>
      <c r="N50" s="23">
        <f t="shared" si="10"/>
        <v>52950.149119181668</v>
      </c>
      <c r="O50" s="23">
        <f t="shared" si="10"/>
        <v>74329.692669336073</v>
      </c>
      <c r="P50" s="23">
        <f t="shared" si="10"/>
        <v>79811.293284534768</v>
      </c>
      <c r="Q50" s="23">
        <f t="shared" si="10"/>
        <v>90639.579935566944</v>
      </c>
      <c r="R50" s="24">
        <f t="shared" si="10"/>
        <v>297730.71500861947</v>
      </c>
      <c r="S50" s="23">
        <f t="shared" si="10"/>
        <v>95672.058541880542</v>
      </c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</row>
    <row r="51" spans="2:36" x14ac:dyDescent="0.4">
      <c r="B51" s="13">
        <v>9</v>
      </c>
      <c r="C51" s="13" t="s">
        <v>0</v>
      </c>
      <c r="D51" s="19"/>
      <c r="E51" s="19"/>
      <c r="F51" s="19"/>
      <c r="G51" s="19"/>
      <c r="H51" s="20"/>
      <c r="I51" s="19"/>
      <c r="J51" s="19"/>
      <c r="K51" s="19"/>
      <c r="L51" s="19"/>
      <c r="M51" s="20"/>
      <c r="N51" s="19"/>
      <c r="O51" s="19"/>
      <c r="P51" s="19"/>
      <c r="Q51" s="19"/>
      <c r="R51" s="20"/>
      <c r="S51" s="19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</row>
    <row r="52" spans="2:36" x14ac:dyDescent="0.4">
      <c r="B52" s="16"/>
      <c r="C52" s="16" t="s">
        <v>1</v>
      </c>
      <c r="D52" s="17">
        <v>94815.502448512605</v>
      </c>
      <c r="E52" s="17">
        <v>92195.238947368431</v>
      </c>
      <c r="F52" s="17">
        <v>92092.989130434784</v>
      </c>
      <c r="G52" s="17">
        <v>92160.016847826046</v>
      </c>
      <c r="H52" s="18">
        <f t="shared" si="0"/>
        <v>371263.74737414194</v>
      </c>
      <c r="I52" s="17">
        <v>92159.510869565216</v>
      </c>
      <c r="J52" s="17">
        <v>92137.499999999985</v>
      </c>
      <c r="K52" s="17">
        <v>92115.489130434784</v>
      </c>
      <c r="L52" s="17">
        <v>92137.499999999985</v>
      </c>
      <c r="M52" s="18">
        <f t="shared" si="1"/>
        <v>368550</v>
      </c>
      <c r="N52" s="17">
        <v>92159.510869565216</v>
      </c>
      <c r="O52" s="17">
        <v>92137.499999999985</v>
      </c>
      <c r="P52" s="17">
        <v>92092.989130434784</v>
      </c>
      <c r="Q52" s="17">
        <v>92159.999999999985</v>
      </c>
      <c r="R52" s="18">
        <f t="shared" si="2"/>
        <v>368550</v>
      </c>
      <c r="S52" s="17">
        <v>92159.510869565216</v>
      </c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</row>
    <row r="53" spans="2:36" x14ac:dyDescent="0.4">
      <c r="B53" s="16"/>
      <c r="C53" s="16" t="s">
        <v>15</v>
      </c>
      <c r="D53" s="17">
        <v>0</v>
      </c>
      <c r="E53" s="17">
        <v>0</v>
      </c>
      <c r="F53" s="17">
        <v>23450</v>
      </c>
      <c r="G53" s="17">
        <v>0</v>
      </c>
      <c r="H53" s="18">
        <f t="shared" si="0"/>
        <v>23450</v>
      </c>
      <c r="I53" s="17">
        <v>0</v>
      </c>
      <c r="J53" s="17">
        <v>0</v>
      </c>
      <c r="K53" s="17">
        <v>0</v>
      </c>
      <c r="L53" s="17">
        <v>23450</v>
      </c>
      <c r="M53" s="18">
        <f t="shared" si="1"/>
        <v>23450</v>
      </c>
      <c r="N53" s="17">
        <v>0</v>
      </c>
      <c r="O53" s="17">
        <v>0</v>
      </c>
      <c r="P53" s="17">
        <v>0</v>
      </c>
      <c r="Q53" s="17">
        <v>0</v>
      </c>
      <c r="R53" s="18">
        <f t="shared" si="2"/>
        <v>0</v>
      </c>
      <c r="S53" s="17">
        <v>0</v>
      </c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</row>
    <row r="54" spans="2:36" x14ac:dyDescent="0.4">
      <c r="B54" s="13"/>
      <c r="C54" s="22" t="s">
        <v>3</v>
      </c>
      <c r="D54" s="23">
        <f t="shared" ref="D54:S54" si="11">SUM(D52:D53)</f>
        <v>94815.502448512605</v>
      </c>
      <c r="E54" s="23">
        <f t="shared" si="11"/>
        <v>92195.238947368431</v>
      </c>
      <c r="F54" s="23">
        <f t="shared" si="11"/>
        <v>115542.98913043478</v>
      </c>
      <c r="G54" s="23">
        <f t="shared" si="11"/>
        <v>92160.016847826046</v>
      </c>
      <c r="H54" s="24">
        <f t="shared" si="11"/>
        <v>394713.74737414194</v>
      </c>
      <c r="I54" s="23">
        <f t="shared" si="11"/>
        <v>92159.510869565216</v>
      </c>
      <c r="J54" s="23">
        <f t="shared" si="11"/>
        <v>92137.499999999985</v>
      </c>
      <c r="K54" s="23">
        <f t="shared" si="11"/>
        <v>92115.489130434784</v>
      </c>
      <c r="L54" s="23">
        <f t="shared" si="11"/>
        <v>115587.49999999999</v>
      </c>
      <c r="M54" s="24">
        <f t="shared" si="11"/>
        <v>392000</v>
      </c>
      <c r="N54" s="23">
        <f t="shared" si="11"/>
        <v>92159.510869565216</v>
      </c>
      <c r="O54" s="23">
        <f t="shared" si="11"/>
        <v>92137.499999999985</v>
      </c>
      <c r="P54" s="23">
        <f t="shared" si="11"/>
        <v>92092.989130434784</v>
      </c>
      <c r="Q54" s="23">
        <f t="shared" si="11"/>
        <v>92159.999999999985</v>
      </c>
      <c r="R54" s="24">
        <f t="shared" si="11"/>
        <v>368550</v>
      </c>
      <c r="S54" s="23">
        <f t="shared" si="11"/>
        <v>92159.510869565216</v>
      </c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</row>
    <row r="55" spans="2:36" x14ac:dyDescent="0.4">
      <c r="B55" s="13">
        <v>10</v>
      </c>
      <c r="C55" s="13" t="s">
        <v>0</v>
      </c>
      <c r="D55" s="19"/>
      <c r="E55" s="19"/>
      <c r="F55" s="19"/>
      <c r="G55" s="19"/>
      <c r="H55" s="20"/>
      <c r="I55" s="19"/>
      <c r="J55" s="19"/>
      <c r="K55" s="19"/>
      <c r="L55" s="19"/>
      <c r="M55" s="20"/>
      <c r="N55" s="19"/>
      <c r="O55" s="19"/>
      <c r="P55" s="19"/>
      <c r="Q55" s="19"/>
      <c r="R55" s="20"/>
      <c r="S55" s="19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</row>
    <row r="56" spans="2:36" x14ac:dyDescent="0.4">
      <c r="B56" s="16"/>
      <c r="C56" s="16" t="s">
        <v>2</v>
      </c>
      <c r="D56" s="17">
        <v>57854.136986301368</v>
      </c>
      <c r="E56" s="17">
        <v>53869.431479452054</v>
      </c>
      <c r="F56" s="17">
        <v>50717.36465753425</v>
      </c>
      <c r="G56" s="17">
        <v>51280.890931506845</v>
      </c>
      <c r="H56" s="18">
        <f t="shared" si="0"/>
        <v>213721.82405479453</v>
      </c>
      <c r="I56" s="17">
        <v>51844.396668382535</v>
      </c>
      <c r="J56" s="17">
        <v>50328.002435882503</v>
      </c>
      <c r="K56" s="17">
        <v>49835.676817500003</v>
      </c>
      <c r="L56" s="17">
        <v>49835.67693999999</v>
      </c>
      <c r="M56" s="18">
        <f t="shared" si="1"/>
        <v>201843.75286176504</v>
      </c>
      <c r="N56" s="17">
        <v>50383.321782499996</v>
      </c>
      <c r="O56" s="17">
        <v>50473.345202000004</v>
      </c>
      <c r="P56" s="17">
        <v>49423.068345</v>
      </c>
      <c r="Q56" s="17">
        <v>50602.529145000008</v>
      </c>
      <c r="R56" s="18">
        <f t="shared" si="2"/>
        <v>200882.2644745</v>
      </c>
      <c r="S56" s="17">
        <v>50761.977945000013</v>
      </c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</row>
    <row r="57" spans="2:36" x14ac:dyDescent="0.4">
      <c r="B57" s="16"/>
      <c r="C57" s="16" t="s">
        <v>16</v>
      </c>
      <c r="D57" s="17">
        <v>0</v>
      </c>
      <c r="E57" s="17">
        <v>0</v>
      </c>
      <c r="F57" s="17">
        <v>13693.150684931508</v>
      </c>
      <c r="G57" s="17">
        <v>14659.726027397261</v>
      </c>
      <c r="H57" s="18">
        <f t="shared" si="0"/>
        <v>28352.876712328769</v>
      </c>
      <c r="I57" s="17">
        <v>14820.821917808218</v>
      </c>
      <c r="J57" s="17">
        <v>14820.821917808211</v>
      </c>
      <c r="K57" s="17">
        <v>18421.381091399067</v>
      </c>
      <c r="L57" s="17">
        <v>18640.081967213107</v>
      </c>
      <c r="M57" s="18">
        <f t="shared" si="1"/>
        <v>66703.106894228607</v>
      </c>
      <c r="N57" s="17">
        <v>18844.918032786889</v>
      </c>
      <c r="O57" s="17">
        <v>18844.918032786874</v>
      </c>
      <c r="P57" s="17">
        <v>18879.762570917006</v>
      </c>
      <c r="Q57" s="17">
        <v>20574.841827190325</v>
      </c>
      <c r="R57" s="18">
        <f t="shared" si="2"/>
        <v>77144.440463681094</v>
      </c>
      <c r="S57" s="17">
        <v>25047.504218759845</v>
      </c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</row>
    <row r="58" spans="2:36" x14ac:dyDescent="0.4">
      <c r="B58" s="16"/>
      <c r="C58" s="16" t="s">
        <v>15</v>
      </c>
      <c r="D58" s="17">
        <v>0</v>
      </c>
      <c r="E58" s="17">
        <v>23450</v>
      </c>
      <c r="F58" s="17">
        <v>0</v>
      </c>
      <c r="G58" s="17">
        <v>23450</v>
      </c>
      <c r="H58" s="18">
        <f t="shared" si="0"/>
        <v>46900</v>
      </c>
      <c r="I58" s="17">
        <v>0</v>
      </c>
      <c r="J58" s="17">
        <v>23450</v>
      </c>
      <c r="K58" s="17">
        <v>56875</v>
      </c>
      <c r="L58" s="17">
        <v>0</v>
      </c>
      <c r="M58" s="18">
        <f t="shared" si="1"/>
        <v>80325</v>
      </c>
      <c r="N58" s="17">
        <v>52500</v>
      </c>
      <c r="O58" s="17">
        <v>101500</v>
      </c>
      <c r="P58" s="17">
        <v>0</v>
      </c>
      <c r="Q58" s="17">
        <v>101500</v>
      </c>
      <c r="R58" s="18">
        <f t="shared" si="2"/>
        <v>255500</v>
      </c>
      <c r="S58" s="17">
        <v>0</v>
      </c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</row>
    <row r="59" spans="2:36" x14ac:dyDescent="0.4">
      <c r="B59" s="16"/>
      <c r="C59" s="16" t="s">
        <v>14</v>
      </c>
      <c r="D59" s="17">
        <v>0</v>
      </c>
      <c r="E59" s="17">
        <v>23859.5</v>
      </c>
      <c r="F59" s="17">
        <v>0</v>
      </c>
      <c r="G59" s="17">
        <v>0</v>
      </c>
      <c r="H59" s="18">
        <f t="shared" si="0"/>
        <v>23859.5</v>
      </c>
      <c r="I59" s="17">
        <v>0</v>
      </c>
      <c r="J59" s="17">
        <v>0</v>
      </c>
      <c r="K59" s="17">
        <v>0</v>
      </c>
      <c r="L59" s="17">
        <v>0</v>
      </c>
      <c r="M59" s="18">
        <f t="shared" si="1"/>
        <v>0</v>
      </c>
      <c r="N59" s="17">
        <v>0</v>
      </c>
      <c r="O59" s="17">
        <v>0</v>
      </c>
      <c r="P59" s="17">
        <v>0</v>
      </c>
      <c r="Q59" s="17">
        <v>7887.25</v>
      </c>
      <c r="R59" s="18">
        <f t="shared" si="2"/>
        <v>7887.25</v>
      </c>
      <c r="S59" s="17">
        <v>0</v>
      </c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</row>
    <row r="60" spans="2:36" x14ac:dyDescent="0.4">
      <c r="B60" s="13"/>
      <c r="C60" s="22" t="s">
        <v>3</v>
      </c>
      <c r="D60" s="23">
        <f t="shared" ref="D60:S60" si="12">SUM(D56:D59)</f>
        <v>57854.136986301368</v>
      </c>
      <c r="E60" s="23">
        <f t="shared" si="12"/>
        <v>101178.93147945206</v>
      </c>
      <c r="F60" s="23">
        <f t="shared" si="12"/>
        <v>64410.515342465762</v>
      </c>
      <c r="G60" s="23">
        <f t="shared" si="12"/>
        <v>89390.616958904109</v>
      </c>
      <c r="H60" s="24">
        <f t="shared" si="12"/>
        <v>312834.20076712332</v>
      </c>
      <c r="I60" s="23">
        <f t="shared" si="12"/>
        <v>66665.218586190749</v>
      </c>
      <c r="J60" s="23">
        <f t="shared" si="12"/>
        <v>88598.82435369071</v>
      </c>
      <c r="K60" s="23">
        <f t="shared" si="12"/>
        <v>125132.05790889906</v>
      </c>
      <c r="L60" s="23">
        <f t="shared" si="12"/>
        <v>68475.758907213094</v>
      </c>
      <c r="M60" s="24">
        <f t="shared" si="12"/>
        <v>348871.85975599365</v>
      </c>
      <c r="N60" s="23">
        <f t="shared" si="12"/>
        <v>121728.23981528688</v>
      </c>
      <c r="O60" s="23">
        <f t="shared" si="12"/>
        <v>170818.26323478686</v>
      </c>
      <c r="P60" s="23">
        <f t="shared" si="12"/>
        <v>68302.830915917002</v>
      </c>
      <c r="Q60" s="23">
        <f t="shared" si="12"/>
        <v>180564.62097219034</v>
      </c>
      <c r="R60" s="24">
        <f t="shared" si="12"/>
        <v>541413.95493818109</v>
      </c>
      <c r="S60" s="23">
        <f t="shared" si="12"/>
        <v>75809.482163759851</v>
      </c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</row>
    <row r="61" spans="2:36" x14ac:dyDescent="0.4">
      <c r="B61" s="13">
        <v>11</v>
      </c>
      <c r="C61" s="13" t="s">
        <v>0</v>
      </c>
      <c r="D61" s="19"/>
      <c r="E61" s="19"/>
      <c r="F61" s="19"/>
      <c r="G61" s="19"/>
      <c r="H61" s="20"/>
      <c r="I61" s="19"/>
      <c r="J61" s="19"/>
      <c r="K61" s="19"/>
      <c r="L61" s="19"/>
      <c r="M61" s="20"/>
      <c r="N61" s="19"/>
      <c r="O61" s="19"/>
      <c r="P61" s="19"/>
      <c r="Q61" s="19"/>
      <c r="R61" s="20"/>
      <c r="S61" s="19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</row>
    <row r="62" spans="2:36" x14ac:dyDescent="0.4">
      <c r="B62" s="16"/>
      <c r="C62" s="16" t="s">
        <v>1</v>
      </c>
      <c r="D62" s="17">
        <v>0</v>
      </c>
      <c r="E62" s="17">
        <v>0</v>
      </c>
      <c r="F62" s="17">
        <v>0</v>
      </c>
      <c r="G62" s="17">
        <v>0</v>
      </c>
      <c r="H62" s="18">
        <f t="shared" si="0"/>
        <v>0</v>
      </c>
      <c r="I62" s="17">
        <v>0</v>
      </c>
      <c r="J62" s="17">
        <v>0</v>
      </c>
      <c r="K62" s="17">
        <v>0</v>
      </c>
      <c r="L62" s="17">
        <v>0</v>
      </c>
      <c r="M62" s="18">
        <f t="shared" si="1"/>
        <v>0</v>
      </c>
      <c r="N62" s="17">
        <v>0</v>
      </c>
      <c r="O62" s="17">
        <v>0</v>
      </c>
      <c r="P62" s="17">
        <v>0</v>
      </c>
      <c r="Q62" s="17">
        <v>30244.565217391308</v>
      </c>
      <c r="R62" s="18">
        <f t="shared" si="2"/>
        <v>30244.565217391308</v>
      </c>
      <c r="S62" s="17">
        <v>69562.5</v>
      </c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</row>
    <row r="63" spans="2:36" x14ac:dyDescent="0.4">
      <c r="B63" s="16"/>
      <c r="C63" s="16" t="s">
        <v>16</v>
      </c>
      <c r="D63" s="17">
        <v>0</v>
      </c>
      <c r="E63" s="17">
        <v>0</v>
      </c>
      <c r="F63" s="17">
        <v>0</v>
      </c>
      <c r="G63" s="17">
        <v>0</v>
      </c>
      <c r="H63" s="18">
        <f t="shared" si="0"/>
        <v>0</v>
      </c>
      <c r="I63" s="17">
        <v>0</v>
      </c>
      <c r="J63" s="17">
        <v>0</v>
      </c>
      <c r="K63" s="17">
        <v>0</v>
      </c>
      <c r="L63" s="17">
        <v>0</v>
      </c>
      <c r="M63" s="18">
        <f t="shared" si="1"/>
        <v>0</v>
      </c>
      <c r="N63" s="17">
        <v>0</v>
      </c>
      <c r="O63" s="17">
        <v>0</v>
      </c>
      <c r="P63" s="17">
        <v>0</v>
      </c>
      <c r="Q63" s="17">
        <v>2393.4246575342454</v>
      </c>
      <c r="R63" s="18">
        <f t="shared" si="2"/>
        <v>2393.4246575342454</v>
      </c>
      <c r="S63" s="17">
        <v>5504.876712328768</v>
      </c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</row>
    <row r="64" spans="2:36" x14ac:dyDescent="0.4">
      <c r="B64" s="16"/>
      <c r="C64" s="16" t="s">
        <v>15</v>
      </c>
      <c r="D64" s="17">
        <v>0</v>
      </c>
      <c r="E64" s="17">
        <v>0</v>
      </c>
      <c r="F64" s="17">
        <v>0</v>
      </c>
      <c r="G64" s="17">
        <v>0</v>
      </c>
      <c r="H64" s="18">
        <f t="shared" si="0"/>
        <v>0</v>
      </c>
      <c r="I64" s="17">
        <v>0</v>
      </c>
      <c r="J64" s="17">
        <v>0</v>
      </c>
      <c r="K64" s="17">
        <v>0</v>
      </c>
      <c r="L64" s="17">
        <v>0</v>
      </c>
      <c r="M64" s="18">
        <f t="shared" si="1"/>
        <v>0</v>
      </c>
      <c r="N64" s="17">
        <v>0</v>
      </c>
      <c r="O64" s="17">
        <v>0</v>
      </c>
      <c r="P64" s="17">
        <v>0</v>
      </c>
      <c r="Q64" s="17">
        <v>52587.5</v>
      </c>
      <c r="R64" s="18">
        <f t="shared" si="2"/>
        <v>52587.5</v>
      </c>
      <c r="S64" s="17">
        <v>0</v>
      </c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</row>
    <row r="65" spans="2:36" x14ac:dyDescent="0.4">
      <c r="B65" s="13"/>
      <c r="C65" s="22" t="s">
        <v>3</v>
      </c>
      <c r="D65" s="23">
        <f t="shared" ref="D65:S65" si="13">SUM(D62:D64)</f>
        <v>0</v>
      </c>
      <c r="E65" s="23">
        <f t="shared" si="13"/>
        <v>0</v>
      </c>
      <c r="F65" s="23">
        <f t="shared" si="13"/>
        <v>0</v>
      </c>
      <c r="G65" s="23">
        <f t="shared" si="13"/>
        <v>0</v>
      </c>
      <c r="H65" s="24">
        <f t="shared" si="13"/>
        <v>0</v>
      </c>
      <c r="I65" s="23">
        <f t="shared" si="13"/>
        <v>0</v>
      </c>
      <c r="J65" s="23">
        <f t="shared" si="13"/>
        <v>0</v>
      </c>
      <c r="K65" s="23">
        <f t="shared" si="13"/>
        <v>0</v>
      </c>
      <c r="L65" s="23">
        <f t="shared" si="13"/>
        <v>0</v>
      </c>
      <c r="M65" s="24">
        <f t="shared" si="13"/>
        <v>0</v>
      </c>
      <c r="N65" s="23">
        <f t="shared" si="13"/>
        <v>0</v>
      </c>
      <c r="O65" s="23">
        <f t="shared" si="13"/>
        <v>0</v>
      </c>
      <c r="P65" s="23">
        <f t="shared" si="13"/>
        <v>0</v>
      </c>
      <c r="Q65" s="23">
        <f t="shared" si="13"/>
        <v>85225.489874925552</v>
      </c>
      <c r="R65" s="24">
        <f t="shared" si="13"/>
        <v>85225.489874925552</v>
      </c>
      <c r="S65" s="23">
        <f t="shared" si="13"/>
        <v>75067.376712328769</v>
      </c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</row>
    <row r="66" spans="2:36" x14ac:dyDescent="0.4">
      <c r="B66" s="13">
        <v>12</v>
      </c>
      <c r="C66" s="13" t="s">
        <v>0</v>
      </c>
      <c r="D66" s="19"/>
      <c r="E66" s="19"/>
      <c r="F66" s="19"/>
      <c r="G66" s="19"/>
      <c r="H66" s="20"/>
      <c r="I66" s="19"/>
      <c r="J66" s="19"/>
      <c r="K66" s="19"/>
      <c r="L66" s="19"/>
      <c r="M66" s="20"/>
      <c r="N66" s="19"/>
      <c r="O66" s="19"/>
      <c r="P66" s="19"/>
      <c r="Q66" s="19"/>
      <c r="R66" s="20"/>
      <c r="S66" s="19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</row>
    <row r="67" spans="2:36" x14ac:dyDescent="0.4">
      <c r="B67" s="16"/>
      <c r="C67" s="16" t="s">
        <v>2</v>
      </c>
      <c r="D67" s="17">
        <v>42996.820904109583</v>
      </c>
      <c r="E67" s="17">
        <v>39645.407506849326</v>
      </c>
      <c r="F67" s="17">
        <v>40950.129452054804</v>
      </c>
      <c r="G67" s="17">
        <v>41152.763718036542</v>
      </c>
      <c r="H67" s="18">
        <f t="shared" si="0"/>
        <v>164745.12158105028</v>
      </c>
      <c r="I67" s="17">
        <v>42936.619935754985</v>
      </c>
      <c r="J67" s="17">
        <v>43191.995612954997</v>
      </c>
      <c r="K67" s="17">
        <v>42564.770884999991</v>
      </c>
      <c r="L67" s="17">
        <v>43765.285375000007</v>
      </c>
      <c r="M67" s="18">
        <f t="shared" si="1"/>
        <v>172458.67180870997</v>
      </c>
      <c r="N67" s="17">
        <v>44819.621385000013</v>
      </c>
      <c r="O67" s="17">
        <v>44819.621385000006</v>
      </c>
      <c r="P67" s="17">
        <v>43845.281515000017</v>
      </c>
      <c r="Q67" s="17">
        <v>44741.461817499992</v>
      </c>
      <c r="R67" s="18">
        <f t="shared" si="2"/>
        <v>178225.9861025</v>
      </c>
      <c r="S67" s="17">
        <v>44726.769867499985</v>
      </c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</row>
    <row r="68" spans="2:36" x14ac:dyDescent="0.4">
      <c r="B68" s="16"/>
      <c r="C68" s="16" t="s">
        <v>15</v>
      </c>
      <c r="D68" s="17">
        <v>7350</v>
      </c>
      <c r="E68" s="17">
        <v>14350</v>
      </c>
      <c r="F68" s="17">
        <v>14000</v>
      </c>
      <c r="G68" s="17">
        <v>14000</v>
      </c>
      <c r="H68" s="18">
        <f t="shared" si="0"/>
        <v>49700</v>
      </c>
      <c r="I68" s="17">
        <v>14000</v>
      </c>
      <c r="J68" s="17">
        <v>34300</v>
      </c>
      <c r="K68" s="17">
        <v>14000</v>
      </c>
      <c r="L68" s="17">
        <v>23450</v>
      </c>
      <c r="M68" s="18">
        <f t="shared" si="1"/>
        <v>85750</v>
      </c>
      <c r="N68" s="17">
        <v>30450</v>
      </c>
      <c r="O68" s="17">
        <v>25007.5</v>
      </c>
      <c r="P68" s="17">
        <v>49245</v>
      </c>
      <c r="Q68" s="17">
        <v>23450</v>
      </c>
      <c r="R68" s="18">
        <f t="shared" si="2"/>
        <v>128152.5</v>
      </c>
      <c r="S68" s="17">
        <v>23450</v>
      </c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</row>
    <row r="69" spans="2:36" x14ac:dyDescent="0.4">
      <c r="B69" s="16"/>
      <c r="C69" s="16" t="s">
        <v>14</v>
      </c>
      <c r="D69" s="17">
        <v>106968.75</v>
      </c>
      <c r="E69" s="17">
        <v>0</v>
      </c>
      <c r="F69" s="17">
        <v>63808.5</v>
      </c>
      <c r="G69" s="17">
        <v>30880.5</v>
      </c>
      <c r="H69" s="18">
        <f t="shared" si="0"/>
        <v>201657.75</v>
      </c>
      <c r="I69" s="17">
        <v>0</v>
      </c>
      <c r="J69" s="17">
        <v>4375</v>
      </c>
      <c r="K69" s="17">
        <v>0</v>
      </c>
      <c r="L69" s="17">
        <v>29037.75</v>
      </c>
      <c r="M69" s="18">
        <f t="shared" si="1"/>
        <v>33412.75</v>
      </c>
      <c r="N69" s="17">
        <v>0</v>
      </c>
      <c r="O69" s="17">
        <v>0</v>
      </c>
      <c r="P69" s="17">
        <v>0</v>
      </c>
      <c r="Q69" s="17">
        <v>0</v>
      </c>
      <c r="R69" s="18">
        <f t="shared" si="2"/>
        <v>0</v>
      </c>
      <c r="S69" s="17">
        <v>0</v>
      </c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</row>
    <row r="70" spans="2:36" x14ac:dyDescent="0.4">
      <c r="B70" s="13"/>
      <c r="C70" s="22" t="s">
        <v>3</v>
      </c>
      <c r="D70" s="23">
        <f t="shared" ref="D70:S70" si="14">SUM(D67:D69)</f>
        <v>157315.57090410957</v>
      </c>
      <c r="E70" s="23">
        <f t="shared" si="14"/>
        <v>53995.407506849326</v>
      </c>
      <c r="F70" s="23">
        <f t="shared" si="14"/>
        <v>118758.6294520548</v>
      </c>
      <c r="G70" s="23">
        <f t="shared" si="14"/>
        <v>86033.263718036542</v>
      </c>
      <c r="H70" s="24">
        <f t="shared" si="14"/>
        <v>416102.87158105028</v>
      </c>
      <c r="I70" s="23">
        <f t="shared" si="14"/>
        <v>56936.619935754985</v>
      </c>
      <c r="J70" s="23">
        <f t="shared" si="14"/>
        <v>81866.995612954997</v>
      </c>
      <c r="K70" s="23">
        <f t="shared" si="14"/>
        <v>56564.770884999991</v>
      </c>
      <c r="L70" s="23">
        <f t="shared" si="14"/>
        <v>96253.035375000007</v>
      </c>
      <c r="M70" s="24">
        <f t="shared" si="14"/>
        <v>291621.42180870997</v>
      </c>
      <c r="N70" s="23">
        <f t="shared" si="14"/>
        <v>75269.621385000006</v>
      </c>
      <c r="O70" s="23">
        <f t="shared" si="14"/>
        <v>69827.121385000006</v>
      </c>
      <c r="P70" s="23">
        <f t="shared" si="14"/>
        <v>93090.28151500001</v>
      </c>
      <c r="Q70" s="23">
        <f t="shared" si="14"/>
        <v>68191.461817499992</v>
      </c>
      <c r="R70" s="24">
        <f t="shared" si="14"/>
        <v>306378.4861025</v>
      </c>
      <c r="S70" s="23">
        <f t="shared" si="14"/>
        <v>68176.769867499985</v>
      </c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</row>
    <row r="71" spans="2:36" x14ac:dyDescent="0.4">
      <c r="B71" s="13">
        <v>13</v>
      </c>
      <c r="C71" s="13" t="s">
        <v>0</v>
      </c>
      <c r="D71" s="19"/>
      <c r="E71" s="19"/>
      <c r="F71" s="19"/>
      <c r="G71" s="19"/>
      <c r="H71" s="20"/>
      <c r="I71" s="19"/>
      <c r="J71" s="19"/>
      <c r="K71" s="19"/>
      <c r="L71" s="19"/>
      <c r="M71" s="20"/>
      <c r="N71" s="19"/>
      <c r="O71" s="19"/>
      <c r="P71" s="19"/>
      <c r="Q71" s="19"/>
      <c r="R71" s="20"/>
      <c r="S71" s="19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</row>
    <row r="72" spans="2:36" x14ac:dyDescent="0.4">
      <c r="B72" s="16"/>
      <c r="C72" s="16" t="s">
        <v>1</v>
      </c>
      <c r="D72" s="17">
        <v>0</v>
      </c>
      <c r="E72" s="17">
        <v>0</v>
      </c>
      <c r="F72" s="17">
        <v>0</v>
      </c>
      <c r="G72" s="17">
        <v>0</v>
      </c>
      <c r="H72" s="18">
        <f t="shared" si="0"/>
        <v>0</v>
      </c>
      <c r="I72" s="17">
        <v>0</v>
      </c>
      <c r="J72" s="17">
        <v>0</v>
      </c>
      <c r="K72" s="17">
        <v>0</v>
      </c>
      <c r="L72" s="17">
        <v>0</v>
      </c>
      <c r="M72" s="18">
        <f t="shared" si="1"/>
        <v>0</v>
      </c>
      <c r="N72" s="17">
        <v>0</v>
      </c>
      <c r="O72" s="17">
        <v>0</v>
      </c>
      <c r="P72" s="17">
        <v>0</v>
      </c>
      <c r="Q72" s="17">
        <v>0</v>
      </c>
      <c r="R72" s="18">
        <f t="shared" si="2"/>
        <v>0</v>
      </c>
      <c r="S72" s="17">
        <v>47561.643835616436</v>
      </c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</row>
    <row r="73" spans="2:36" x14ac:dyDescent="0.4">
      <c r="B73" s="16"/>
      <c r="C73" s="16" t="s">
        <v>2</v>
      </c>
      <c r="D73" s="17">
        <v>35581.882191780824</v>
      </c>
      <c r="E73" s="17">
        <v>35581.882191780831</v>
      </c>
      <c r="F73" s="17">
        <v>34808.363013698639</v>
      </c>
      <c r="G73" s="17">
        <v>34765.037485964502</v>
      </c>
      <c r="H73" s="18">
        <f t="shared" ref="H73:H136" si="15">SUM(D73:G73)</f>
        <v>140737.16488322479</v>
      </c>
      <c r="I73" s="17">
        <v>35484.664494457495</v>
      </c>
      <c r="J73" s="17">
        <v>35484.664494457495</v>
      </c>
      <c r="K73" s="17">
        <v>35098.962132499997</v>
      </c>
      <c r="L73" s="17">
        <v>35356.584021499999</v>
      </c>
      <c r="M73" s="18">
        <f t="shared" ref="M73:M136" si="16">SUM(I73:L73)</f>
        <v>141424.87514291497</v>
      </c>
      <c r="N73" s="17">
        <v>36062.746965000013</v>
      </c>
      <c r="O73" s="17">
        <v>36062.746964999998</v>
      </c>
      <c r="P73" s="17">
        <v>35278.774772500001</v>
      </c>
      <c r="Q73" s="17">
        <v>28840.268442999997</v>
      </c>
      <c r="R73" s="18">
        <f t="shared" ref="R73:R136" si="17">SUM(N73:Q73)</f>
        <v>136244.53714550001</v>
      </c>
      <c r="S73" s="17">
        <v>20242.079934999994</v>
      </c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</row>
    <row r="74" spans="2:36" x14ac:dyDescent="0.4">
      <c r="B74" s="13"/>
      <c r="C74" s="22" t="s">
        <v>3</v>
      </c>
      <c r="D74" s="23">
        <f t="shared" ref="D74:S74" si="18">SUM(D72:D73)</f>
        <v>35581.882191780824</v>
      </c>
      <c r="E74" s="23">
        <f t="shared" si="18"/>
        <v>35581.882191780831</v>
      </c>
      <c r="F74" s="23">
        <f t="shared" si="18"/>
        <v>34808.363013698639</v>
      </c>
      <c r="G74" s="23">
        <f t="shared" si="18"/>
        <v>34765.037485964502</v>
      </c>
      <c r="H74" s="24">
        <f t="shared" si="18"/>
        <v>140737.16488322479</v>
      </c>
      <c r="I74" s="23">
        <f t="shared" si="18"/>
        <v>35484.664494457495</v>
      </c>
      <c r="J74" s="23">
        <f t="shared" si="18"/>
        <v>35484.664494457495</v>
      </c>
      <c r="K74" s="23">
        <f t="shared" si="18"/>
        <v>35098.962132499997</v>
      </c>
      <c r="L74" s="23">
        <f t="shared" si="18"/>
        <v>35356.584021499999</v>
      </c>
      <c r="M74" s="24">
        <f t="shared" si="18"/>
        <v>141424.87514291497</v>
      </c>
      <c r="N74" s="23">
        <f t="shared" si="18"/>
        <v>36062.746965000013</v>
      </c>
      <c r="O74" s="23">
        <f t="shared" si="18"/>
        <v>36062.746964999998</v>
      </c>
      <c r="P74" s="23">
        <f t="shared" si="18"/>
        <v>35278.774772500001</v>
      </c>
      <c r="Q74" s="23">
        <f t="shared" si="18"/>
        <v>28840.268442999997</v>
      </c>
      <c r="R74" s="24">
        <f t="shared" si="18"/>
        <v>136244.53714550001</v>
      </c>
      <c r="S74" s="23">
        <f t="shared" si="18"/>
        <v>67803.723770616431</v>
      </c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</row>
    <row r="75" spans="2:36" x14ac:dyDescent="0.4">
      <c r="B75" s="13">
        <v>14</v>
      </c>
      <c r="C75" s="13" t="s">
        <v>0</v>
      </c>
      <c r="D75" s="19"/>
      <c r="E75" s="19"/>
      <c r="F75" s="19"/>
      <c r="G75" s="19"/>
      <c r="H75" s="20"/>
      <c r="I75" s="19"/>
      <c r="J75" s="19"/>
      <c r="K75" s="19"/>
      <c r="L75" s="19"/>
      <c r="M75" s="20"/>
      <c r="N75" s="19"/>
      <c r="O75" s="19"/>
      <c r="P75" s="19"/>
      <c r="Q75" s="19"/>
      <c r="R75" s="20"/>
      <c r="S75" s="19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</row>
    <row r="76" spans="2:36" x14ac:dyDescent="0.4">
      <c r="B76" s="16"/>
      <c r="C76" s="16" t="s">
        <v>1</v>
      </c>
      <c r="D76" s="17">
        <v>0</v>
      </c>
      <c r="E76" s="17">
        <v>0</v>
      </c>
      <c r="F76" s="17">
        <v>0</v>
      </c>
      <c r="G76" s="17">
        <v>0</v>
      </c>
      <c r="H76" s="18">
        <f t="shared" si="15"/>
        <v>0</v>
      </c>
      <c r="I76" s="17">
        <v>0</v>
      </c>
      <c r="J76" s="17">
        <v>0</v>
      </c>
      <c r="K76" s="17">
        <v>0</v>
      </c>
      <c r="L76" s="17">
        <v>0</v>
      </c>
      <c r="M76" s="18">
        <f t="shared" si="16"/>
        <v>0</v>
      </c>
      <c r="N76" s="17">
        <v>0</v>
      </c>
      <c r="O76" s="17">
        <v>0</v>
      </c>
      <c r="P76" s="17">
        <v>0</v>
      </c>
      <c r="Q76" s="17">
        <v>0</v>
      </c>
      <c r="R76" s="18">
        <f t="shared" si="17"/>
        <v>0</v>
      </c>
      <c r="S76" s="17">
        <v>1057.3155737704919</v>
      </c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</row>
    <row r="77" spans="2:36" x14ac:dyDescent="0.4">
      <c r="B77" s="16"/>
      <c r="C77" s="16" t="s">
        <v>2</v>
      </c>
      <c r="D77" s="17">
        <v>23592.895890410957</v>
      </c>
      <c r="E77" s="17">
        <v>23592.895890410957</v>
      </c>
      <c r="F77" s="17">
        <v>23080.006849315072</v>
      </c>
      <c r="G77" s="17">
        <v>23336.451369863022</v>
      </c>
      <c r="H77" s="18">
        <f t="shared" si="15"/>
        <v>93602.25</v>
      </c>
      <c r="I77" s="17">
        <v>23592.894652670002</v>
      </c>
      <c r="J77" s="17">
        <v>23592.894652670002</v>
      </c>
      <c r="K77" s="17">
        <v>24530.389103500002</v>
      </c>
      <c r="L77" s="17">
        <v>26965.044417500005</v>
      </c>
      <c r="M77" s="18">
        <f t="shared" si="16"/>
        <v>98681.222826340003</v>
      </c>
      <c r="N77" s="17">
        <v>26784.786682500002</v>
      </c>
      <c r="O77" s="17">
        <v>26784.786682500002</v>
      </c>
      <c r="P77" s="17">
        <v>26393.919205500006</v>
      </c>
      <c r="Q77" s="17">
        <v>28321.855904999997</v>
      </c>
      <c r="R77" s="18">
        <f t="shared" si="17"/>
        <v>108285.34847550001</v>
      </c>
      <c r="S77" s="17">
        <v>28131.198060000002</v>
      </c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</row>
    <row r="78" spans="2:36" x14ac:dyDescent="0.4">
      <c r="B78" s="16"/>
      <c r="C78" s="16" t="s">
        <v>15</v>
      </c>
      <c r="D78" s="17">
        <v>0</v>
      </c>
      <c r="E78" s="17">
        <v>0</v>
      </c>
      <c r="F78" s="17">
        <v>23450</v>
      </c>
      <c r="G78" s="17">
        <v>23450</v>
      </c>
      <c r="H78" s="18">
        <f t="shared" si="15"/>
        <v>46900</v>
      </c>
      <c r="I78" s="17">
        <v>0</v>
      </c>
      <c r="J78" s="17">
        <v>23450</v>
      </c>
      <c r="K78" s="17">
        <v>23450</v>
      </c>
      <c r="L78" s="17">
        <v>23450</v>
      </c>
      <c r="M78" s="18">
        <f t="shared" si="16"/>
        <v>70350</v>
      </c>
      <c r="N78" s="17">
        <v>23450</v>
      </c>
      <c r="O78" s="17">
        <v>23450</v>
      </c>
      <c r="P78" s="17">
        <v>23450</v>
      </c>
      <c r="Q78" s="17">
        <v>23450</v>
      </c>
      <c r="R78" s="18">
        <f t="shared" si="17"/>
        <v>93800</v>
      </c>
      <c r="S78" s="17">
        <v>23450</v>
      </c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</row>
    <row r="79" spans="2:36" x14ac:dyDescent="0.4">
      <c r="B79" s="16"/>
      <c r="C79" s="16" t="s">
        <v>14</v>
      </c>
      <c r="D79" s="17">
        <v>0</v>
      </c>
      <c r="E79" s="17">
        <v>0</v>
      </c>
      <c r="F79" s="17">
        <v>0</v>
      </c>
      <c r="G79" s="17">
        <v>0</v>
      </c>
      <c r="H79" s="18">
        <f t="shared" si="15"/>
        <v>0</v>
      </c>
      <c r="I79" s="17">
        <v>0</v>
      </c>
      <c r="J79" s="17">
        <v>0</v>
      </c>
      <c r="K79" s="17">
        <v>0</v>
      </c>
      <c r="L79" s="17">
        <v>21775.25</v>
      </c>
      <c r="M79" s="18">
        <f t="shared" si="16"/>
        <v>21775.25</v>
      </c>
      <c r="N79" s="17">
        <v>0</v>
      </c>
      <c r="O79" s="17">
        <v>0</v>
      </c>
      <c r="P79" s="17">
        <v>0</v>
      </c>
      <c r="Q79" s="17">
        <v>17515.75</v>
      </c>
      <c r="R79" s="18">
        <f t="shared" si="17"/>
        <v>17515.75</v>
      </c>
      <c r="S79" s="17">
        <v>0</v>
      </c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</row>
    <row r="80" spans="2:36" x14ac:dyDescent="0.4">
      <c r="B80" s="13"/>
      <c r="C80" s="22" t="s">
        <v>3</v>
      </c>
      <c r="D80" s="23">
        <f t="shared" ref="D80:S80" si="19">SUM(D76:D79)</f>
        <v>23592.895890410957</v>
      </c>
      <c r="E80" s="23">
        <f t="shared" si="19"/>
        <v>23592.895890410957</v>
      </c>
      <c r="F80" s="23">
        <f t="shared" si="19"/>
        <v>46530.006849315076</v>
      </c>
      <c r="G80" s="23">
        <f t="shared" si="19"/>
        <v>46786.451369863018</v>
      </c>
      <c r="H80" s="24">
        <f t="shared" si="19"/>
        <v>140502.25</v>
      </c>
      <c r="I80" s="23">
        <f t="shared" si="19"/>
        <v>23592.894652670002</v>
      </c>
      <c r="J80" s="23">
        <f t="shared" si="19"/>
        <v>47042.894652670002</v>
      </c>
      <c r="K80" s="23">
        <f t="shared" si="19"/>
        <v>47980.389103499998</v>
      </c>
      <c r="L80" s="23">
        <f t="shared" si="19"/>
        <v>72190.294417500001</v>
      </c>
      <c r="M80" s="24">
        <f t="shared" si="19"/>
        <v>190806.47282634</v>
      </c>
      <c r="N80" s="23">
        <f t="shared" si="19"/>
        <v>50234.786682500002</v>
      </c>
      <c r="O80" s="23">
        <f t="shared" si="19"/>
        <v>50234.786682500002</v>
      </c>
      <c r="P80" s="23">
        <f t="shared" si="19"/>
        <v>49843.919205500002</v>
      </c>
      <c r="Q80" s="23">
        <f t="shared" si="19"/>
        <v>69287.605905000004</v>
      </c>
      <c r="R80" s="24">
        <f t="shared" si="19"/>
        <v>219601.09847550001</v>
      </c>
      <c r="S80" s="23">
        <f t="shared" si="19"/>
        <v>52638.51363377049</v>
      </c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</row>
    <row r="81" spans="2:36" x14ac:dyDescent="0.4">
      <c r="B81" s="13">
        <v>15</v>
      </c>
      <c r="C81" s="13" t="s">
        <v>0</v>
      </c>
      <c r="D81" s="19"/>
      <c r="E81" s="19"/>
      <c r="F81" s="19"/>
      <c r="G81" s="19"/>
      <c r="H81" s="20"/>
      <c r="I81" s="19"/>
      <c r="J81" s="19"/>
      <c r="K81" s="19"/>
      <c r="L81" s="19"/>
      <c r="M81" s="20"/>
      <c r="N81" s="19"/>
      <c r="O81" s="19"/>
      <c r="P81" s="19"/>
      <c r="Q81" s="19"/>
      <c r="R81" s="20"/>
      <c r="S81" s="19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</row>
    <row r="82" spans="2:36" x14ac:dyDescent="0.4">
      <c r="B82" s="16"/>
      <c r="C82" s="16" t="s">
        <v>2</v>
      </c>
      <c r="D82" s="17">
        <v>38688.109178082188</v>
      </c>
      <c r="E82" s="17">
        <v>38429.597260273971</v>
      </c>
      <c r="F82" s="17">
        <v>37594.171232876717</v>
      </c>
      <c r="G82" s="17">
        <v>38011.884246575333</v>
      </c>
      <c r="H82" s="18">
        <f t="shared" si="15"/>
        <v>152723.76191780821</v>
      </c>
      <c r="I82" s="17">
        <v>38444.380558062512</v>
      </c>
      <c r="J82" s="17">
        <v>40324.341991394991</v>
      </c>
      <c r="K82" s="17">
        <v>39886.034877500002</v>
      </c>
      <c r="L82" s="17">
        <v>39886.033460000006</v>
      </c>
      <c r="M82" s="18">
        <f t="shared" si="16"/>
        <v>158540.79088695752</v>
      </c>
      <c r="N82" s="17">
        <v>40374.918902500016</v>
      </c>
      <c r="O82" s="17">
        <v>40546.133663000022</v>
      </c>
      <c r="P82" s="17">
        <v>40353.694692500001</v>
      </c>
      <c r="Q82" s="17">
        <v>40223.520259999998</v>
      </c>
      <c r="R82" s="18">
        <f t="shared" si="17"/>
        <v>161498.26751800004</v>
      </c>
      <c r="S82" s="17">
        <v>40353.689302499988</v>
      </c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</row>
    <row r="83" spans="2:36" x14ac:dyDescent="0.4">
      <c r="B83" s="16"/>
      <c r="C83" s="16" t="s">
        <v>16</v>
      </c>
      <c r="D83" s="17">
        <v>0</v>
      </c>
      <c r="E83" s="17">
        <v>0</v>
      </c>
      <c r="F83" s="17">
        <v>0</v>
      </c>
      <c r="G83" s="17">
        <v>7221.2802047146388</v>
      </c>
      <c r="H83" s="18">
        <f t="shared" si="15"/>
        <v>7221.2802047146388</v>
      </c>
      <c r="I83" s="17">
        <v>8971.1329813285629</v>
      </c>
      <c r="J83" s="17">
        <v>8971.1329813285593</v>
      </c>
      <c r="K83" s="17">
        <v>8965.2231253305126</v>
      </c>
      <c r="L83" s="17">
        <v>9355.2482072977273</v>
      </c>
      <c r="M83" s="18">
        <f t="shared" si="16"/>
        <v>36262.737295285362</v>
      </c>
      <c r="N83" s="17">
        <v>9540.9041095890425</v>
      </c>
      <c r="O83" s="17">
        <v>9540.9041095890389</v>
      </c>
      <c r="P83" s="17">
        <v>9333.4931506849316</v>
      </c>
      <c r="Q83" s="17">
        <v>9437.1986301369852</v>
      </c>
      <c r="R83" s="18">
        <f t="shared" si="17"/>
        <v>37852.5</v>
      </c>
      <c r="S83" s="17">
        <v>9540.9041095890425</v>
      </c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</row>
    <row r="84" spans="2:36" x14ac:dyDescent="0.4">
      <c r="B84" s="16"/>
      <c r="C84" s="16" t="s">
        <v>15</v>
      </c>
      <c r="D84" s="17">
        <v>7350</v>
      </c>
      <c r="E84" s="17">
        <v>0</v>
      </c>
      <c r="F84" s="17">
        <v>0</v>
      </c>
      <c r="G84" s="17">
        <v>0</v>
      </c>
      <c r="H84" s="18">
        <f t="shared" si="15"/>
        <v>7350</v>
      </c>
      <c r="I84" s="17">
        <v>0</v>
      </c>
      <c r="J84" s="17">
        <v>0</v>
      </c>
      <c r="K84" s="17">
        <v>0</v>
      </c>
      <c r="L84" s="17">
        <v>0</v>
      </c>
      <c r="M84" s="18">
        <f t="shared" si="16"/>
        <v>0</v>
      </c>
      <c r="N84" s="17">
        <v>0</v>
      </c>
      <c r="O84" s="17">
        <v>0</v>
      </c>
      <c r="P84" s="17">
        <v>0</v>
      </c>
      <c r="Q84" s="17">
        <v>0</v>
      </c>
      <c r="R84" s="18">
        <f t="shared" si="17"/>
        <v>0</v>
      </c>
      <c r="S84" s="17">
        <v>0</v>
      </c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</row>
    <row r="85" spans="2:36" x14ac:dyDescent="0.4">
      <c r="B85" s="16"/>
      <c r="C85" s="16" t="s">
        <v>14</v>
      </c>
      <c r="D85" s="17">
        <v>0</v>
      </c>
      <c r="E85" s="17">
        <v>0</v>
      </c>
      <c r="F85" s="17">
        <v>0</v>
      </c>
      <c r="G85" s="17">
        <v>0</v>
      </c>
      <c r="H85" s="18">
        <f t="shared" si="15"/>
        <v>0</v>
      </c>
      <c r="I85" s="17">
        <v>0</v>
      </c>
      <c r="J85" s="17">
        <v>0</v>
      </c>
      <c r="K85" s="17">
        <v>0</v>
      </c>
      <c r="L85" s="17">
        <v>0</v>
      </c>
      <c r="M85" s="18">
        <f t="shared" si="16"/>
        <v>0</v>
      </c>
      <c r="N85" s="17">
        <v>0</v>
      </c>
      <c r="O85" s="17">
        <v>4812.5</v>
      </c>
      <c r="P85" s="17">
        <v>0</v>
      </c>
      <c r="Q85" s="17">
        <v>0</v>
      </c>
      <c r="R85" s="18">
        <f t="shared" si="17"/>
        <v>4812.5</v>
      </c>
      <c r="S85" s="17">
        <v>0</v>
      </c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</row>
    <row r="86" spans="2:36" x14ac:dyDescent="0.4">
      <c r="B86" s="13"/>
      <c r="C86" s="22" t="s">
        <v>3</v>
      </c>
      <c r="D86" s="23">
        <f t="shared" ref="D86:S86" si="20">SUM(D82:D85)</f>
        <v>46038.109178082188</v>
      </c>
      <c r="E86" s="23">
        <f t="shared" si="20"/>
        <v>38429.597260273971</v>
      </c>
      <c r="F86" s="23">
        <f t="shared" si="20"/>
        <v>37594.171232876717</v>
      </c>
      <c r="G86" s="23">
        <f t="shared" si="20"/>
        <v>45233.164451289973</v>
      </c>
      <c r="H86" s="24">
        <f t="shared" si="20"/>
        <v>167295.04212252283</v>
      </c>
      <c r="I86" s="23">
        <f t="shared" si="20"/>
        <v>47415.513539391075</v>
      </c>
      <c r="J86" s="23">
        <f t="shared" si="20"/>
        <v>49295.474972723547</v>
      </c>
      <c r="K86" s="23">
        <f t="shared" si="20"/>
        <v>48851.258002830516</v>
      </c>
      <c r="L86" s="23">
        <f t="shared" si="20"/>
        <v>49241.281667297735</v>
      </c>
      <c r="M86" s="24">
        <f t="shared" si="20"/>
        <v>194803.52818224288</v>
      </c>
      <c r="N86" s="23">
        <f t="shared" si="20"/>
        <v>49915.823012089058</v>
      </c>
      <c r="O86" s="23">
        <f t="shared" si="20"/>
        <v>54899.537772589058</v>
      </c>
      <c r="P86" s="23">
        <f t="shared" si="20"/>
        <v>49687.187843184933</v>
      </c>
      <c r="Q86" s="23">
        <f t="shared" si="20"/>
        <v>49660.718890136981</v>
      </c>
      <c r="R86" s="24">
        <f t="shared" si="20"/>
        <v>204163.26751800004</v>
      </c>
      <c r="S86" s="23">
        <f t="shared" si="20"/>
        <v>49894.593412089031</v>
      </c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</row>
    <row r="87" spans="2:36" x14ac:dyDescent="0.4">
      <c r="B87" s="13">
        <v>16</v>
      </c>
      <c r="C87" s="13" t="s">
        <v>0</v>
      </c>
      <c r="D87" s="19"/>
      <c r="E87" s="19"/>
      <c r="F87" s="19"/>
      <c r="G87" s="19"/>
      <c r="H87" s="20"/>
      <c r="I87" s="19"/>
      <c r="J87" s="19"/>
      <c r="K87" s="19"/>
      <c r="L87" s="19"/>
      <c r="M87" s="20"/>
      <c r="N87" s="19"/>
      <c r="O87" s="19"/>
      <c r="P87" s="19"/>
      <c r="Q87" s="19"/>
      <c r="R87" s="20"/>
      <c r="S87" s="19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</row>
    <row r="88" spans="2:36" x14ac:dyDescent="0.4">
      <c r="B88" s="16"/>
      <c r="C88" s="16" t="s">
        <v>1</v>
      </c>
      <c r="D88" s="17">
        <v>0</v>
      </c>
      <c r="E88" s="17">
        <v>0</v>
      </c>
      <c r="F88" s="17">
        <v>0</v>
      </c>
      <c r="G88" s="17">
        <v>0</v>
      </c>
      <c r="H88" s="18">
        <f t="shared" si="15"/>
        <v>0</v>
      </c>
      <c r="I88" s="17">
        <v>26376.18169398907</v>
      </c>
      <c r="J88" s="17">
        <v>51629.972677595637</v>
      </c>
      <c r="K88" s="17">
        <v>51068.777322404363</v>
      </c>
      <c r="L88" s="17">
        <v>51068.77732240437</v>
      </c>
      <c r="M88" s="18">
        <f t="shared" si="16"/>
        <v>180143.70901639343</v>
      </c>
      <c r="N88" s="17">
        <v>51702.236189085976</v>
      </c>
      <c r="O88" s="17">
        <v>51771.424657534255</v>
      </c>
      <c r="P88" s="17">
        <v>50645.95890410959</v>
      </c>
      <c r="Q88" s="17">
        <v>51208.691780821922</v>
      </c>
      <c r="R88" s="18">
        <f t="shared" si="17"/>
        <v>205328.31153155174</v>
      </c>
      <c r="S88" s="17">
        <v>48172.705479452052</v>
      </c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</row>
    <row r="89" spans="2:36" x14ac:dyDescent="0.4">
      <c r="B89" s="16"/>
      <c r="C89" s="16" t="s">
        <v>2</v>
      </c>
      <c r="D89" s="17">
        <v>18840.969863013703</v>
      </c>
      <c r="E89" s="17">
        <v>18840.969863013703</v>
      </c>
      <c r="F89" s="17">
        <v>18431.383561643837</v>
      </c>
      <c r="G89" s="17">
        <v>18635.617168201214</v>
      </c>
      <c r="H89" s="18">
        <f t="shared" si="15"/>
        <v>74748.940455872449</v>
      </c>
      <c r="I89" s="17">
        <v>19684.171128527494</v>
      </c>
      <c r="J89" s="17">
        <v>19674.550908915</v>
      </c>
      <c r="K89" s="17">
        <v>19460.696272499994</v>
      </c>
      <c r="L89" s="17">
        <v>19246.842877500003</v>
      </c>
      <c r="M89" s="18">
        <f t="shared" si="16"/>
        <v>78066.261187442491</v>
      </c>
      <c r="N89" s="17">
        <v>0</v>
      </c>
      <c r="O89" s="17">
        <v>0</v>
      </c>
      <c r="P89" s="17">
        <v>0</v>
      </c>
      <c r="Q89" s="17">
        <v>0</v>
      </c>
      <c r="R89" s="18">
        <f t="shared" si="17"/>
        <v>0</v>
      </c>
      <c r="S89" s="17">
        <v>0</v>
      </c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</row>
    <row r="90" spans="2:36" x14ac:dyDescent="0.4">
      <c r="B90" s="16"/>
      <c r="C90" s="16" t="s">
        <v>15</v>
      </c>
      <c r="D90" s="17">
        <v>0</v>
      </c>
      <c r="E90" s="17">
        <v>2975</v>
      </c>
      <c r="F90" s="17">
        <v>0</v>
      </c>
      <c r="G90" s="17">
        <v>1557.5</v>
      </c>
      <c r="H90" s="18">
        <f t="shared" si="15"/>
        <v>4532.5</v>
      </c>
      <c r="I90" s="17">
        <v>3570</v>
      </c>
      <c r="J90" s="17">
        <v>0</v>
      </c>
      <c r="K90" s="17">
        <v>5950</v>
      </c>
      <c r="L90" s="17">
        <v>0</v>
      </c>
      <c r="M90" s="18">
        <f t="shared" si="16"/>
        <v>9520</v>
      </c>
      <c r="N90" s="17">
        <v>7000</v>
      </c>
      <c r="O90" s="17">
        <v>0</v>
      </c>
      <c r="P90" s="17">
        <v>0</v>
      </c>
      <c r="Q90" s="17">
        <v>7000</v>
      </c>
      <c r="R90" s="18">
        <f t="shared" si="17"/>
        <v>14000</v>
      </c>
      <c r="S90" s="17">
        <v>0</v>
      </c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</row>
    <row r="91" spans="2:36" x14ac:dyDescent="0.4">
      <c r="B91" s="13"/>
      <c r="C91" s="22" t="s">
        <v>3</v>
      </c>
      <c r="D91" s="23">
        <f t="shared" ref="D91:S91" si="21">SUM(D88:D90)</f>
        <v>18840.969863013703</v>
      </c>
      <c r="E91" s="23">
        <f t="shared" si="21"/>
        <v>21815.969863013703</v>
      </c>
      <c r="F91" s="23">
        <f t="shared" si="21"/>
        <v>18431.383561643837</v>
      </c>
      <c r="G91" s="23">
        <f t="shared" si="21"/>
        <v>20193.117168201214</v>
      </c>
      <c r="H91" s="24">
        <f t="shared" si="21"/>
        <v>79281.440455872449</v>
      </c>
      <c r="I91" s="23">
        <f t="shared" si="21"/>
        <v>49630.352822516565</v>
      </c>
      <c r="J91" s="23">
        <f t="shared" si="21"/>
        <v>71304.523586510637</v>
      </c>
      <c r="K91" s="23">
        <f t="shared" si="21"/>
        <v>76479.473594904353</v>
      </c>
      <c r="L91" s="23">
        <f t="shared" si="21"/>
        <v>70315.62019990437</v>
      </c>
      <c r="M91" s="24">
        <f t="shared" si="21"/>
        <v>267729.97020383592</v>
      </c>
      <c r="N91" s="23">
        <f t="shared" si="21"/>
        <v>58702.236189085976</v>
      </c>
      <c r="O91" s="23">
        <f t="shared" si="21"/>
        <v>51771.424657534255</v>
      </c>
      <c r="P91" s="23">
        <f t="shared" si="21"/>
        <v>50645.95890410959</v>
      </c>
      <c r="Q91" s="23">
        <f t="shared" si="21"/>
        <v>58208.691780821922</v>
      </c>
      <c r="R91" s="24">
        <f t="shared" si="21"/>
        <v>219328.31153155174</v>
      </c>
      <c r="S91" s="23">
        <f t="shared" si="21"/>
        <v>48172.705479452052</v>
      </c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</row>
    <row r="92" spans="2:36" x14ac:dyDescent="0.4">
      <c r="B92" s="13">
        <v>17</v>
      </c>
      <c r="C92" s="13" t="s">
        <v>0</v>
      </c>
      <c r="D92" s="19"/>
      <c r="E92" s="19"/>
      <c r="F92" s="19"/>
      <c r="G92" s="19"/>
      <c r="H92" s="20"/>
      <c r="I92" s="19"/>
      <c r="J92" s="19"/>
      <c r="K92" s="19"/>
      <c r="L92" s="19"/>
      <c r="M92" s="20"/>
      <c r="N92" s="19"/>
      <c r="O92" s="19"/>
      <c r="P92" s="19"/>
      <c r="Q92" s="19"/>
      <c r="R92" s="20"/>
      <c r="S92" s="19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</row>
    <row r="93" spans="2:36" x14ac:dyDescent="0.4">
      <c r="B93" s="16"/>
      <c r="C93" s="16" t="s">
        <v>1</v>
      </c>
      <c r="D93" s="17">
        <v>18746.57534246576</v>
      </c>
      <c r="E93" s="17">
        <v>18746.575342465752</v>
      </c>
      <c r="F93" s="17">
        <v>18337.379950863611</v>
      </c>
      <c r="G93" s="17">
        <v>18391.644021739135</v>
      </c>
      <c r="H93" s="18">
        <f t="shared" si="15"/>
        <v>74222.174657534255</v>
      </c>
      <c r="I93" s="17">
        <v>18593.75</v>
      </c>
      <c r="J93" s="17">
        <v>20376.54159698997</v>
      </c>
      <c r="K93" s="17">
        <v>30853.365384615383</v>
      </c>
      <c r="L93" s="17">
        <v>18593.75</v>
      </c>
      <c r="M93" s="18">
        <f t="shared" si="16"/>
        <v>88417.406981605352</v>
      </c>
      <c r="N93" s="17">
        <v>18593.75</v>
      </c>
      <c r="O93" s="17">
        <v>18593.75</v>
      </c>
      <c r="P93" s="17">
        <v>29722.154747191023</v>
      </c>
      <c r="Q93" s="17">
        <v>7363.7400615521583</v>
      </c>
      <c r="R93" s="18">
        <f t="shared" si="17"/>
        <v>74273.394808743193</v>
      </c>
      <c r="S93" s="17">
        <v>18695.355191256829</v>
      </c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</row>
    <row r="94" spans="2:36" x14ac:dyDescent="0.4">
      <c r="B94" s="16"/>
      <c r="C94" s="16" t="s">
        <v>16</v>
      </c>
      <c r="D94" s="17">
        <v>0</v>
      </c>
      <c r="E94" s="17">
        <v>0</v>
      </c>
      <c r="F94" s="17">
        <v>0</v>
      </c>
      <c r="G94" s="17">
        <v>1785</v>
      </c>
      <c r="H94" s="18">
        <f t="shared" si="15"/>
        <v>1785</v>
      </c>
      <c r="I94" s="17">
        <v>1785</v>
      </c>
      <c r="J94" s="17">
        <v>1785.0000000000002</v>
      </c>
      <c r="K94" s="17">
        <v>1784.9999999999998</v>
      </c>
      <c r="L94" s="17">
        <v>1784.9999999999998</v>
      </c>
      <c r="M94" s="18">
        <f t="shared" si="16"/>
        <v>7140</v>
      </c>
      <c r="N94" s="17">
        <v>1785</v>
      </c>
      <c r="O94" s="17">
        <v>1785</v>
      </c>
      <c r="P94" s="17">
        <v>1785</v>
      </c>
      <c r="Q94" s="17">
        <v>1775.2284016393439</v>
      </c>
      <c r="R94" s="18">
        <f t="shared" si="17"/>
        <v>7130.2284016393442</v>
      </c>
      <c r="S94" s="17">
        <v>1794.7540983606559</v>
      </c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</row>
    <row r="95" spans="2:36" x14ac:dyDescent="0.4">
      <c r="B95" s="16"/>
      <c r="C95" s="16" t="s">
        <v>15</v>
      </c>
      <c r="D95" s="17">
        <v>23450</v>
      </c>
      <c r="E95" s="17">
        <v>0</v>
      </c>
      <c r="F95" s="17">
        <v>0</v>
      </c>
      <c r="G95" s="17">
        <v>0</v>
      </c>
      <c r="H95" s="18">
        <f t="shared" si="15"/>
        <v>23450</v>
      </c>
      <c r="I95" s="17">
        <v>0</v>
      </c>
      <c r="J95" s="17">
        <v>23450</v>
      </c>
      <c r="K95" s="17">
        <v>0</v>
      </c>
      <c r="L95" s="17">
        <v>0</v>
      </c>
      <c r="M95" s="18">
        <f t="shared" si="16"/>
        <v>23450</v>
      </c>
      <c r="N95" s="17">
        <v>0</v>
      </c>
      <c r="O95" s="17">
        <v>23450</v>
      </c>
      <c r="P95" s="17">
        <v>0</v>
      </c>
      <c r="Q95" s="17">
        <v>0</v>
      </c>
      <c r="R95" s="18">
        <f t="shared" si="17"/>
        <v>23450</v>
      </c>
      <c r="S95" s="17">
        <v>23450</v>
      </c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</row>
    <row r="96" spans="2:36" x14ac:dyDescent="0.4">
      <c r="B96" s="16"/>
      <c r="C96" s="16" t="s">
        <v>17</v>
      </c>
      <c r="D96" s="17">
        <v>0</v>
      </c>
      <c r="E96" s="17">
        <v>0</v>
      </c>
      <c r="F96" s="17">
        <v>0</v>
      </c>
      <c r="G96" s="17">
        <v>0</v>
      </c>
      <c r="H96" s="18">
        <f t="shared" si="15"/>
        <v>0</v>
      </c>
      <c r="I96" s="17">
        <v>2915.2725</v>
      </c>
      <c r="J96" s="17">
        <v>397.6</v>
      </c>
      <c r="K96" s="17">
        <v>616.12249999999995</v>
      </c>
      <c r="L96" s="17">
        <v>1232.2275</v>
      </c>
      <c r="M96" s="18">
        <f t="shared" si="16"/>
        <v>5161.2224999999999</v>
      </c>
      <c r="N96" s="17">
        <v>0</v>
      </c>
      <c r="O96" s="17">
        <v>0</v>
      </c>
      <c r="P96" s="17">
        <v>0</v>
      </c>
      <c r="Q96" s="17">
        <v>0</v>
      </c>
      <c r="R96" s="18">
        <f t="shared" si="17"/>
        <v>0</v>
      </c>
      <c r="S96" s="17">
        <v>0</v>
      </c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</row>
    <row r="97" spans="2:36" x14ac:dyDescent="0.4">
      <c r="B97" s="13"/>
      <c r="C97" s="22" t="s">
        <v>3</v>
      </c>
      <c r="D97" s="23">
        <f t="shared" ref="D97:S97" si="22">SUM(D93:D96)</f>
        <v>42196.57534246576</v>
      </c>
      <c r="E97" s="23">
        <f t="shared" si="22"/>
        <v>18746.575342465752</v>
      </c>
      <c r="F97" s="23">
        <f t="shared" si="22"/>
        <v>18337.379950863611</v>
      </c>
      <c r="G97" s="23">
        <f t="shared" si="22"/>
        <v>20176.644021739135</v>
      </c>
      <c r="H97" s="24">
        <f t="shared" si="22"/>
        <v>99457.174657534255</v>
      </c>
      <c r="I97" s="23">
        <f t="shared" si="22"/>
        <v>23294.022499999999</v>
      </c>
      <c r="J97" s="23">
        <f t="shared" si="22"/>
        <v>46009.141596989968</v>
      </c>
      <c r="K97" s="23">
        <f t="shared" si="22"/>
        <v>33254.487884615381</v>
      </c>
      <c r="L97" s="23">
        <f t="shared" si="22"/>
        <v>21610.977500000001</v>
      </c>
      <c r="M97" s="24">
        <f t="shared" si="22"/>
        <v>124168.62948160536</v>
      </c>
      <c r="N97" s="23">
        <f t="shared" si="22"/>
        <v>20378.75</v>
      </c>
      <c r="O97" s="23">
        <f t="shared" si="22"/>
        <v>43828.75</v>
      </c>
      <c r="P97" s="23">
        <f t="shared" si="22"/>
        <v>31507.154747191023</v>
      </c>
      <c r="Q97" s="23">
        <f t="shared" si="22"/>
        <v>9138.9684631915025</v>
      </c>
      <c r="R97" s="24">
        <f t="shared" si="22"/>
        <v>104853.62321038253</v>
      </c>
      <c r="S97" s="23">
        <f t="shared" si="22"/>
        <v>43940.109289617481</v>
      </c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</row>
    <row r="98" spans="2:36" x14ac:dyDescent="0.4">
      <c r="B98" s="13">
        <v>18</v>
      </c>
      <c r="C98" s="13" t="s">
        <v>0</v>
      </c>
      <c r="D98" s="19"/>
      <c r="E98" s="19"/>
      <c r="F98" s="19"/>
      <c r="G98" s="19"/>
      <c r="H98" s="20"/>
      <c r="I98" s="19"/>
      <c r="J98" s="19"/>
      <c r="K98" s="19"/>
      <c r="L98" s="19"/>
      <c r="M98" s="20"/>
      <c r="N98" s="19"/>
      <c r="O98" s="19"/>
      <c r="P98" s="19"/>
      <c r="Q98" s="19"/>
      <c r="R98" s="20"/>
      <c r="S98" s="19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</row>
    <row r="99" spans="2:36" x14ac:dyDescent="0.4">
      <c r="B99" s="16"/>
      <c r="C99" s="16" t="s">
        <v>2</v>
      </c>
      <c r="D99" s="17">
        <v>23003.150684931505</v>
      </c>
      <c r="E99" s="17">
        <v>23003.150684931505</v>
      </c>
      <c r="F99" s="17">
        <v>22503.082191780817</v>
      </c>
      <c r="G99" s="17">
        <v>22710.76091024778</v>
      </c>
      <c r="H99" s="18">
        <f t="shared" si="15"/>
        <v>91220.144471891603</v>
      </c>
      <c r="I99" s="17">
        <v>22940.300535162496</v>
      </c>
      <c r="J99" s="17">
        <v>22940.300535162496</v>
      </c>
      <c r="K99" s="17">
        <v>22690.948297499999</v>
      </c>
      <c r="L99" s="17">
        <v>21765.721524750003</v>
      </c>
      <c r="M99" s="18">
        <f t="shared" si="16"/>
        <v>90337.27089257499</v>
      </c>
      <c r="N99" s="17">
        <v>21567.382515000001</v>
      </c>
      <c r="O99" s="17">
        <v>21567.382515000001</v>
      </c>
      <c r="P99" s="17">
        <v>21098.526715000004</v>
      </c>
      <c r="Q99" s="17">
        <v>21332.954907250001</v>
      </c>
      <c r="R99" s="18">
        <f t="shared" si="17"/>
        <v>85566.246652250004</v>
      </c>
      <c r="S99" s="17">
        <v>21567.382514999998</v>
      </c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</row>
    <row r="100" spans="2:36" x14ac:dyDescent="0.4">
      <c r="B100" s="16"/>
      <c r="C100" s="16" t="s">
        <v>16</v>
      </c>
      <c r="D100" s="17">
        <v>0</v>
      </c>
      <c r="E100" s="17">
        <v>0</v>
      </c>
      <c r="F100" s="17">
        <v>0</v>
      </c>
      <c r="G100" s="17">
        <v>1096.4754098360668</v>
      </c>
      <c r="H100" s="18">
        <f t="shared" si="15"/>
        <v>1096.4754098360668</v>
      </c>
      <c r="I100" s="17">
        <v>4803.6065573770493</v>
      </c>
      <c r="J100" s="17">
        <v>4803.6065573770475</v>
      </c>
      <c r="K100" s="17">
        <v>4751.3934426229516</v>
      </c>
      <c r="L100" s="17">
        <v>4754.3974848416783</v>
      </c>
      <c r="M100" s="18">
        <f t="shared" si="16"/>
        <v>19113.004042218727</v>
      </c>
      <c r="N100" s="17">
        <v>4816.7671232876728</v>
      </c>
      <c r="O100" s="17">
        <v>4981.7671232876719</v>
      </c>
      <c r="P100" s="17">
        <v>5387.0547945205462</v>
      </c>
      <c r="Q100" s="17">
        <v>6526.7328767123236</v>
      </c>
      <c r="R100" s="18">
        <f t="shared" si="17"/>
        <v>21712.321917808214</v>
      </c>
      <c r="S100" s="17">
        <v>8629.4851523071411</v>
      </c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</row>
    <row r="101" spans="2:36" x14ac:dyDescent="0.4">
      <c r="B101" s="16"/>
      <c r="C101" s="16" t="s">
        <v>15</v>
      </c>
      <c r="D101" s="17">
        <v>13300</v>
      </c>
      <c r="E101" s="17">
        <v>13300</v>
      </c>
      <c r="F101" s="17">
        <v>13300</v>
      </c>
      <c r="G101" s="17">
        <v>13300</v>
      </c>
      <c r="H101" s="18">
        <f t="shared" si="15"/>
        <v>53200</v>
      </c>
      <c r="I101" s="17">
        <v>13300</v>
      </c>
      <c r="J101" s="17">
        <v>13300</v>
      </c>
      <c r="K101" s="17">
        <v>26600</v>
      </c>
      <c r="L101" s="17">
        <v>13300</v>
      </c>
      <c r="M101" s="18">
        <f t="shared" si="16"/>
        <v>66500</v>
      </c>
      <c r="N101" s="17">
        <v>26600</v>
      </c>
      <c r="O101" s="17">
        <v>13300</v>
      </c>
      <c r="P101" s="17">
        <v>13300</v>
      </c>
      <c r="Q101" s="17">
        <v>13300</v>
      </c>
      <c r="R101" s="18">
        <f t="shared" si="17"/>
        <v>66500</v>
      </c>
      <c r="S101" s="17">
        <v>13300</v>
      </c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</row>
    <row r="102" spans="2:36" x14ac:dyDescent="0.4">
      <c r="B102" s="13"/>
      <c r="C102" s="22" t="s">
        <v>3</v>
      </c>
      <c r="D102" s="23">
        <f t="shared" ref="D102:S102" si="23">SUM(D99:D101)</f>
        <v>36303.150684931505</v>
      </c>
      <c r="E102" s="23">
        <f t="shared" si="23"/>
        <v>36303.150684931505</v>
      </c>
      <c r="F102" s="23">
        <f t="shared" si="23"/>
        <v>35803.082191780821</v>
      </c>
      <c r="G102" s="23">
        <f t="shared" si="23"/>
        <v>37107.236320083844</v>
      </c>
      <c r="H102" s="24">
        <f t="shared" si="23"/>
        <v>145516.61988172767</v>
      </c>
      <c r="I102" s="23">
        <f t="shared" si="23"/>
        <v>41043.90709253955</v>
      </c>
      <c r="J102" s="23">
        <f t="shared" si="23"/>
        <v>41043.907092539543</v>
      </c>
      <c r="K102" s="23">
        <f t="shared" si="23"/>
        <v>54042.341740122953</v>
      </c>
      <c r="L102" s="23">
        <f t="shared" si="23"/>
        <v>39820.119009591683</v>
      </c>
      <c r="M102" s="24">
        <f t="shared" si="23"/>
        <v>175950.27493479371</v>
      </c>
      <c r="N102" s="23">
        <f t="shared" si="23"/>
        <v>52984.149638287672</v>
      </c>
      <c r="O102" s="23">
        <f t="shared" si="23"/>
        <v>39849.149638287672</v>
      </c>
      <c r="P102" s="23">
        <f t="shared" si="23"/>
        <v>39785.581509520547</v>
      </c>
      <c r="Q102" s="23">
        <f t="shared" si="23"/>
        <v>41159.687783962327</v>
      </c>
      <c r="R102" s="24">
        <f t="shared" si="23"/>
        <v>173778.56857005821</v>
      </c>
      <c r="S102" s="23">
        <f t="shared" si="23"/>
        <v>43496.867667307139</v>
      </c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</row>
    <row r="103" spans="2:36" x14ac:dyDescent="0.4">
      <c r="B103" s="13">
        <v>19</v>
      </c>
      <c r="C103" s="13" t="s">
        <v>0</v>
      </c>
      <c r="D103" s="19"/>
      <c r="E103" s="19"/>
      <c r="F103" s="19"/>
      <c r="G103" s="19"/>
      <c r="H103" s="20"/>
      <c r="I103" s="19"/>
      <c r="J103" s="19"/>
      <c r="K103" s="19"/>
      <c r="L103" s="19"/>
      <c r="M103" s="20"/>
      <c r="N103" s="19"/>
      <c r="O103" s="19"/>
      <c r="P103" s="19"/>
      <c r="Q103" s="19"/>
      <c r="R103" s="20"/>
      <c r="S103" s="19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</row>
    <row r="104" spans="2:36" x14ac:dyDescent="0.4">
      <c r="B104" s="16"/>
      <c r="C104" s="16" t="s">
        <v>2</v>
      </c>
      <c r="D104" s="17">
        <v>0</v>
      </c>
      <c r="E104" s="17">
        <v>0</v>
      </c>
      <c r="F104" s="17">
        <v>0</v>
      </c>
      <c r="G104" s="17">
        <v>0</v>
      </c>
      <c r="H104" s="18">
        <f t="shared" si="15"/>
        <v>0</v>
      </c>
      <c r="I104" s="17">
        <v>0</v>
      </c>
      <c r="J104" s="17">
        <v>0</v>
      </c>
      <c r="K104" s="17">
        <v>12008.197319999999</v>
      </c>
      <c r="L104" s="17">
        <v>35249.868640000001</v>
      </c>
      <c r="M104" s="18">
        <f t="shared" si="16"/>
        <v>47258.06596</v>
      </c>
      <c r="N104" s="17">
        <v>35637.230300000003</v>
      </c>
      <c r="O104" s="17">
        <v>35637.230300000003</v>
      </c>
      <c r="P104" s="17">
        <v>35264.924379999997</v>
      </c>
      <c r="Q104" s="17">
        <v>36431.159905</v>
      </c>
      <c r="R104" s="18">
        <f t="shared" si="17"/>
        <v>142970.54488500001</v>
      </c>
      <c r="S104" s="17">
        <v>36831.499565000006</v>
      </c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</row>
    <row r="105" spans="2:36" x14ac:dyDescent="0.4">
      <c r="B105" s="16"/>
      <c r="C105" s="16" t="s">
        <v>16</v>
      </c>
      <c r="D105" s="17">
        <v>0</v>
      </c>
      <c r="E105" s="17">
        <v>0</v>
      </c>
      <c r="F105" s="17">
        <v>0</v>
      </c>
      <c r="G105" s="17">
        <v>301.64158686730468</v>
      </c>
      <c r="H105" s="18">
        <f t="shared" si="15"/>
        <v>301.64158686730468</v>
      </c>
      <c r="I105" s="17">
        <v>370.01367989056126</v>
      </c>
      <c r="J105" s="17">
        <v>370.01367989056087</v>
      </c>
      <c r="K105" s="17">
        <v>365.99179206566339</v>
      </c>
      <c r="L105" s="17">
        <v>2985.428359229842</v>
      </c>
      <c r="M105" s="18">
        <f t="shared" si="16"/>
        <v>4091.4475110766275</v>
      </c>
      <c r="N105" s="17">
        <v>5725.3062172039945</v>
      </c>
      <c r="O105" s="17">
        <v>5725.3062172039918</v>
      </c>
      <c r="P105" s="17">
        <v>5600.8430385691245</v>
      </c>
      <c r="Q105" s="17">
        <v>5819.9520044214187</v>
      </c>
      <c r="R105" s="18">
        <f t="shared" si="17"/>
        <v>22871.40747739853</v>
      </c>
      <c r="S105" s="17">
        <v>5917.7424657534266</v>
      </c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</row>
    <row r="106" spans="2:36" x14ac:dyDescent="0.4">
      <c r="B106" s="16"/>
      <c r="C106" s="16" t="s">
        <v>15</v>
      </c>
      <c r="D106" s="17">
        <v>0</v>
      </c>
      <c r="E106" s="17">
        <v>0</v>
      </c>
      <c r="F106" s="17">
        <v>0</v>
      </c>
      <c r="G106" s="17">
        <v>0</v>
      </c>
      <c r="H106" s="18">
        <f t="shared" si="15"/>
        <v>0</v>
      </c>
      <c r="I106" s="17">
        <v>0</v>
      </c>
      <c r="J106" s="17">
        <v>0</v>
      </c>
      <c r="K106" s="17">
        <v>0</v>
      </c>
      <c r="L106" s="17">
        <v>385</v>
      </c>
      <c r="M106" s="18">
        <f t="shared" si="16"/>
        <v>385</v>
      </c>
      <c r="N106" s="17">
        <v>0</v>
      </c>
      <c r="O106" s="17">
        <v>0</v>
      </c>
      <c r="P106" s="17">
        <v>0</v>
      </c>
      <c r="Q106" s="17">
        <v>0</v>
      </c>
      <c r="R106" s="18">
        <f t="shared" si="17"/>
        <v>0</v>
      </c>
      <c r="S106" s="17">
        <v>0</v>
      </c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</row>
    <row r="107" spans="2:36" x14ac:dyDescent="0.4">
      <c r="B107" s="13"/>
      <c r="C107" s="22" t="s">
        <v>3</v>
      </c>
      <c r="D107" s="23">
        <f t="shared" ref="D107:S107" si="24">SUM(D104:D106)</f>
        <v>0</v>
      </c>
      <c r="E107" s="23">
        <f t="shared" si="24"/>
        <v>0</v>
      </c>
      <c r="F107" s="23">
        <f t="shared" si="24"/>
        <v>0</v>
      </c>
      <c r="G107" s="23">
        <f t="shared" si="24"/>
        <v>301.64158686730468</v>
      </c>
      <c r="H107" s="24">
        <f t="shared" si="24"/>
        <v>301.64158686730468</v>
      </c>
      <c r="I107" s="23">
        <f t="shared" si="24"/>
        <v>370.01367989056126</v>
      </c>
      <c r="J107" s="23">
        <f t="shared" si="24"/>
        <v>370.01367989056087</v>
      </c>
      <c r="K107" s="23">
        <f t="shared" si="24"/>
        <v>12374.189112065662</v>
      </c>
      <c r="L107" s="23">
        <f t="shared" si="24"/>
        <v>38620.296999229846</v>
      </c>
      <c r="M107" s="24">
        <f t="shared" si="24"/>
        <v>51734.513471076629</v>
      </c>
      <c r="N107" s="23">
        <f t="shared" si="24"/>
        <v>41362.536517203996</v>
      </c>
      <c r="O107" s="23">
        <f t="shared" si="24"/>
        <v>41362.536517203996</v>
      </c>
      <c r="P107" s="23">
        <f t="shared" si="24"/>
        <v>40865.767418569121</v>
      </c>
      <c r="Q107" s="23">
        <f t="shared" si="24"/>
        <v>42251.111909421423</v>
      </c>
      <c r="R107" s="24">
        <f t="shared" si="24"/>
        <v>165841.95236239853</v>
      </c>
      <c r="S107" s="23">
        <f t="shared" si="24"/>
        <v>42749.242030753434</v>
      </c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</row>
    <row r="108" spans="2:36" x14ac:dyDescent="0.4">
      <c r="B108" s="13">
        <v>20</v>
      </c>
      <c r="C108" s="13" t="s">
        <v>0</v>
      </c>
      <c r="D108" s="19"/>
      <c r="E108" s="19"/>
      <c r="F108" s="19"/>
      <c r="G108" s="19"/>
      <c r="H108" s="20"/>
      <c r="I108" s="19"/>
      <c r="J108" s="19"/>
      <c r="K108" s="19"/>
      <c r="L108" s="19"/>
      <c r="M108" s="20"/>
      <c r="N108" s="19"/>
      <c r="O108" s="19"/>
      <c r="P108" s="19"/>
      <c r="Q108" s="19"/>
      <c r="R108" s="20"/>
      <c r="S108" s="19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</row>
    <row r="109" spans="2:36" x14ac:dyDescent="0.4">
      <c r="B109" s="16"/>
      <c r="C109" s="16" t="s">
        <v>2</v>
      </c>
      <c r="D109" s="17">
        <v>35537.259589041096</v>
      </c>
      <c r="E109" s="17">
        <v>35120.495890410959</v>
      </c>
      <c r="F109" s="17">
        <v>34357.006849315061</v>
      </c>
      <c r="G109" s="17">
        <v>34738.751369863014</v>
      </c>
      <c r="H109" s="18">
        <f t="shared" si="15"/>
        <v>139753.51369863012</v>
      </c>
      <c r="I109" s="17">
        <v>25963.842372037499</v>
      </c>
      <c r="J109" s="17">
        <v>38526.991475787501</v>
      </c>
      <c r="K109" s="17">
        <v>38108.219677500005</v>
      </c>
      <c r="L109" s="17">
        <v>38108.219625000005</v>
      </c>
      <c r="M109" s="18">
        <f t="shared" si="16"/>
        <v>140707.273150325</v>
      </c>
      <c r="N109" s="17">
        <v>38178.206465000003</v>
      </c>
      <c r="O109" s="17">
        <v>38632.545262500003</v>
      </c>
      <c r="P109" s="17">
        <v>37792.708747500001</v>
      </c>
      <c r="Q109" s="17">
        <v>38212.625955000003</v>
      </c>
      <c r="R109" s="18">
        <f t="shared" si="17"/>
        <v>152816.08643</v>
      </c>
      <c r="S109" s="17">
        <v>41655.961334749998</v>
      </c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</row>
    <row r="110" spans="2:36" x14ac:dyDescent="0.4">
      <c r="B110" s="16"/>
      <c r="C110" s="16" t="s">
        <v>15</v>
      </c>
      <c r="D110" s="17">
        <v>0</v>
      </c>
      <c r="E110" s="17">
        <v>0</v>
      </c>
      <c r="F110" s="17">
        <v>0</v>
      </c>
      <c r="G110" s="17">
        <v>0</v>
      </c>
      <c r="H110" s="18">
        <f t="shared" si="15"/>
        <v>0</v>
      </c>
      <c r="I110" s="17">
        <v>0</v>
      </c>
      <c r="J110" s="17">
        <v>0</v>
      </c>
      <c r="K110" s="17">
        <v>0</v>
      </c>
      <c r="L110" s="17">
        <v>735</v>
      </c>
      <c r="M110" s="18">
        <f t="shared" si="16"/>
        <v>735</v>
      </c>
      <c r="N110" s="17">
        <v>0</v>
      </c>
      <c r="O110" s="17">
        <v>0</v>
      </c>
      <c r="P110" s="17">
        <v>735</v>
      </c>
      <c r="Q110" s="17">
        <v>735</v>
      </c>
      <c r="R110" s="18">
        <f t="shared" si="17"/>
        <v>1470</v>
      </c>
      <c r="S110" s="17">
        <v>735</v>
      </c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</row>
    <row r="111" spans="2:36" x14ac:dyDescent="0.4">
      <c r="B111" s="13"/>
      <c r="C111" s="22" t="s">
        <v>3</v>
      </c>
      <c r="D111" s="23">
        <f t="shared" ref="D111:S111" si="25">SUM(D109:D110)</f>
        <v>35537.259589041096</v>
      </c>
      <c r="E111" s="23">
        <f t="shared" si="25"/>
        <v>35120.495890410959</v>
      </c>
      <c r="F111" s="23">
        <f t="shared" si="25"/>
        <v>34357.006849315061</v>
      </c>
      <c r="G111" s="23">
        <f t="shared" si="25"/>
        <v>34738.751369863014</v>
      </c>
      <c r="H111" s="24">
        <f t="shared" si="25"/>
        <v>139753.51369863012</v>
      </c>
      <c r="I111" s="23">
        <f t="shared" si="25"/>
        <v>25963.842372037499</v>
      </c>
      <c r="J111" s="23">
        <f t="shared" si="25"/>
        <v>38526.991475787501</v>
      </c>
      <c r="K111" s="23">
        <f t="shared" si="25"/>
        <v>38108.219677500005</v>
      </c>
      <c r="L111" s="23">
        <f t="shared" si="25"/>
        <v>38843.219625000005</v>
      </c>
      <c r="M111" s="24">
        <f t="shared" si="25"/>
        <v>141442.273150325</v>
      </c>
      <c r="N111" s="23">
        <f t="shared" si="25"/>
        <v>38178.206465000003</v>
      </c>
      <c r="O111" s="23">
        <f t="shared" si="25"/>
        <v>38632.545262500003</v>
      </c>
      <c r="P111" s="23">
        <f t="shared" si="25"/>
        <v>38527.708747500001</v>
      </c>
      <c r="Q111" s="23">
        <f t="shared" si="25"/>
        <v>38947.625955000003</v>
      </c>
      <c r="R111" s="24">
        <f t="shared" si="25"/>
        <v>154286.08643</v>
      </c>
      <c r="S111" s="23">
        <f t="shared" si="25"/>
        <v>42390.961334749998</v>
      </c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</row>
    <row r="112" spans="2:36" x14ac:dyDescent="0.4">
      <c r="B112" s="13">
        <v>21</v>
      </c>
      <c r="C112" s="13" t="s">
        <v>0</v>
      </c>
      <c r="D112" s="19"/>
      <c r="E112" s="19"/>
      <c r="F112" s="19"/>
      <c r="G112" s="19"/>
      <c r="H112" s="20"/>
      <c r="I112" s="19"/>
      <c r="J112" s="19"/>
      <c r="K112" s="19"/>
      <c r="L112" s="19"/>
      <c r="M112" s="20"/>
      <c r="N112" s="19"/>
      <c r="O112" s="19"/>
      <c r="P112" s="19"/>
      <c r="Q112" s="19"/>
      <c r="R112" s="20"/>
      <c r="S112" s="19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</row>
    <row r="113" spans="2:36" x14ac:dyDescent="0.4">
      <c r="B113" s="16"/>
      <c r="C113" s="16" t="s">
        <v>2</v>
      </c>
      <c r="D113" s="17">
        <v>5309.2286301369841</v>
      </c>
      <c r="E113" s="17">
        <v>5309.2286301369877</v>
      </c>
      <c r="F113" s="17">
        <v>5240.3694863013707</v>
      </c>
      <c r="G113" s="17">
        <v>5230.3808219178072</v>
      </c>
      <c r="H113" s="18">
        <f t="shared" si="15"/>
        <v>21089.207568493148</v>
      </c>
      <c r="I113" s="17">
        <v>5287.8573249914998</v>
      </c>
      <c r="J113" s="17">
        <v>5287.8573249914998</v>
      </c>
      <c r="K113" s="17">
        <v>5784.4279009999991</v>
      </c>
      <c r="L113" s="17">
        <v>6259.3258174999983</v>
      </c>
      <c r="M113" s="18">
        <f t="shared" si="16"/>
        <v>22619.468368482998</v>
      </c>
      <c r="N113" s="17">
        <v>6328.1094257499972</v>
      </c>
      <c r="O113" s="17">
        <v>6328.1094257499972</v>
      </c>
      <c r="P113" s="17">
        <v>5534.0165422499995</v>
      </c>
      <c r="Q113" s="17">
        <v>5121.3579550000004</v>
      </c>
      <c r="R113" s="18">
        <f t="shared" si="17"/>
        <v>23311.593348749993</v>
      </c>
      <c r="S113" s="17">
        <v>5177.6367124999997</v>
      </c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</row>
    <row r="114" spans="2:36" x14ac:dyDescent="0.4">
      <c r="B114" s="16"/>
      <c r="C114" s="16" t="s">
        <v>15</v>
      </c>
      <c r="D114" s="17">
        <v>36128.75</v>
      </c>
      <c r="E114" s="17">
        <v>42341.25</v>
      </c>
      <c r="F114" s="17">
        <v>26600</v>
      </c>
      <c r="G114" s="17">
        <v>39900</v>
      </c>
      <c r="H114" s="18">
        <f t="shared" si="15"/>
        <v>144970</v>
      </c>
      <c r="I114" s="17">
        <v>53200</v>
      </c>
      <c r="J114" s="17">
        <v>39900</v>
      </c>
      <c r="K114" s="17">
        <v>53200</v>
      </c>
      <c r="L114" s="17">
        <v>39900</v>
      </c>
      <c r="M114" s="18">
        <f t="shared" si="16"/>
        <v>186200</v>
      </c>
      <c r="N114" s="17">
        <v>53200</v>
      </c>
      <c r="O114" s="17">
        <v>66500</v>
      </c>
      <c r="P114" s="17">
        <v>63350</v>
      </c>
      <c r="Q114" s="17">
        <v>70350</v>
      </c>
      <c r="R114" s="18">
        <f t="shared" si="17"/>
        <v>253400</v>
      </c>
      <c r="S114" s="17">
        <v>36750</v>
      </c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</row>
    <row r="115" spans="2:36" x14ac:dyDescent="0.4">
      <c r="B115" s="13"/>
      <c r="C115" s="22" t="s">
        <v>3</v>
      </c>
      <c r="D115" s="23">
        <f t="shared" ref="D115:S115" si="26">SUM(D113:D114)</f>
        <v>41437.978630136982</v>
      </c>
      <c r="E115" s="23">
        <f t="shared" si="26"/>
        <v>47650.47863013699</v>
      </c>
      <c r="F115" s="23">
        <f t="shared" si="26"/>
        <v>31840.36948630137</v>
      </c>
      <c r="G115" s="23">
        <f t="shared" si="26"/>
        <v>45130.38082191781</v>
      </c>
      <c r="H115" s="24">
        <f t="shared" si="26"/>
        <v>166059.20756849315</v>
      </c>
      <c r="I115" s="23">
        <f t="shared" si="26"/>
        <v>58487.857324991499</v>
      </c>
      <c r="J115" s="23">
        <f t="shared" si="26"/>
        <v>45187.857324991499</v>
      </c>
      <c r="K115" s="23">
        <f t="shared" si="26"/>
        <v>58984.427901000003</v>
      </c>
      <c r="L115" s="23">
        <f t="shared" si="26"/>
        <v>46159.325817500001</v>
      </c>
      <c r="M115" s="24">
        <f t="shared" si="26"/>
        <v>208819.46836848301</v>
      </c>
      <c r="N115" s="23">
        <f t="shared" si="26"/>
        <v>59528.109425749994</v>
      </c>
      <c r="O115" s="23">
        <f t="shared" si="26"/>
        <v>72828.109425749994</v>
      </c>
      <c r="P115" s="23">
        <f t="shared" si="26"/>
        <v>68884.016542249999</v>
      </c>
      <c r="Q115" s="23">
        <f t="shared" si="26"/>
        <v>75471.357954999999</v>
      </c>
      <c r="R115" s="24">
        <f t="shared" si="26"/>
        <v>276711.59334874997</v>
      </c>
      <c r="S115" s="23">
        <f t="shared" si="26"/>
        <v>41927.636712499996</v>
      </c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</row>
    <row r="116" spans="2:36" x14ac:dyDescent="0.4">
      <c r="B116" s="13">
        <v>22</v>
      </c>
      <c r="C116" s="13" t="s">
        <v>0</v>
      </c>
      <c r="D116" s="19"/>
      <c r="E116" s="19"/>
      <c r="F116" s="19"/>
      <c r="G116" s="19"/>
      <c r="H116" s="20"/>
      <c r="I116" s="19"/>
      <c r="J116" s="19"/>
      <c r="K116" s="19"/>
      <c r="L116" s="19"/>
      <c r="M116" s="20"/>
      <c r="N116" s="19"/>
      <c r="O116" s="19"/>
      <c r="P116" s="19"/>
      <c r="Q116" s="19"/>
      <c r="R116" s="20"/>
      <c r="S116" s="19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</row>
    <row r="117" spans="2:36" x14ac:dyDescent="0.4">
      <c r="B117" s="16"/>
      <c r="C117" s="16" t="s">
        <v>2</v>
      </c>
      <c r="D117" s="17">
        <v>44812.695890410956</v>
      </c>
      <c r="E117" s="17">
        <v>42671.554109589037</v>
      </c>
      <c r="F117" s="17">
        <v>40679.445205479446</v>
      </c>
      <c r="G117" s="17">
        <v>41131.439041095895</v>
      </c>
      <c r="H117" s="18">
        <f t="shared" si="15"/>
        <v>169295.13424657536</v>
      </c>
      <c r="I117" s="17">
        <v>41583.434278925015</v>
      </c>
      <c r="J117" s="17">
        <v>41057.341018925006</v>
      </c>
      <c r="K117" s="17">
        <v>41019.05773</v>
      </c>
      <c r="L117" s="17">
        <v>41019.057344999994</v>
      </c>
      <c r="M117" s="18">
        <f t="shared" si="16"/>
        <v>164678.89037285</v>
      </c>
      <c r="N117" s="17">
        <v>41469.817095000006</v>
      </c>
      <c r="O117" s="17">
        <v>41543.914139000008</v>
      </c>
      <c r="P117" s="17">
        <v>40679.446307500002</v>
      </c>
      <c r="Q117" s="17">
        <v>41131.442940000015</v>
      </c>
      <c r="R117" s="18">
        <f t="shared" si="17"/>
        <v>164824.62048150002</v>
      </c>
      <c r="S117" s="17">
        <v>41583.436072500001</v>
      </c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</row>
    <row r="118" spans="2:36" x14ac:dyDescent="0.4">
      <c r="B118" s="16"/>
      <c r="C118" s="16" t="s">
        <v>15</v>
      </c>
      <c r="D118" s="17">
        <v>0</v>
      </c>
      <c r="E118" s="17">
        <v>23450</v>
      </c>
      <c r="F118" s="17">
        <v>0</v>
      </c>
      <c r="G118" s="17">
        <v>23450</v>
      </c>
      <c r="H118" s="18">
        <f t="shared" si="15"/>
        <v>46900</v>
      </c>
      <c r="I118" s="17">
        <v>0</v>
      </c>
      <c r="J118" s="17">
        <v>0</v>
      </c>
      <c r="K118" s="17">
        <v>0</v>
      </c>
      <c r="L118" s="17">
        <v>0</v>
      </c>
      <c r="M118" s="18">
        <f t="shared" si="16"/>
        <v>0</v>
      </c>
      <c r="N118" s="17">
        <v>0</v>
      </c>
      <c r="O118" s="17">
        <v>0</v>
      </c>
      <c r="P118" s="17">
        <v>0</v>
      </c>
      <c r="Q118" s="17">
        <v>0</v>
      </c>
      <c r="R118" s="18">
        <f t="shared" si="17"/>
        <v>0</v>
      </c>
      <c r="S118" s="17">
        <v>0</v>
      </c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</row>
    <row r="119" spans="2:36" x14ac:dyDescent="0.4">
      <c r="B119" s="13"/>
      <c r="C119" s="22" t="s">
        <v>3</v>
      </c>
      <c r="D119" s="23">
        <f t="shared" ref="D119:S119" si="27">SUM(D117:D118)</f>
        <v>44812.695890410956</v>
      </c>
      <c r="E119" s="23">
        <f t="shared" si="27"/>
        <v>66121.554109589037</v>
      </c>
      <c r="F119" s="23">
        <f t="shared" si="27"/>
        <v>40679.445205479446</v>
      </c>
      <c r="G119" s="23">
        <f t="shared" si="27"/>
        <v>64581.439041095895</v>
      </c>
      <c r="H119" s="24">
        <f t="shared" si="27"/>
        <v>216195.13424657536</v>
      </c>
      <c r="I119" s="23">
        <f t="shared" si="27"/>
        <v>41583.434278925015</v>
      </c>
      <c r="J119" s="23">
        <f t="shared" si="27"/>
        <v>41057.341018925006</v>
      </c>
      <c r="K119" s="23">
        <f t="shared" si="27"/>
        <v>41019.05773</v>
      </c>
      <c r="L119" s="23">
        <f t="shared" si="27"/>
        <v>41019.057344999994</v>
      </c>
      <c r="M119" s="24">
        <f t="shared" si="27"/>
        <v>164678.89037285</v>
      </c>
      <c r="N119" s="23">
        <f t="shared" si="27"/>
        <v>41469.817095000006</v>
      </c>
      <c r="O119" s="23">
        <f t="shared" si="27"/>
        <v>41543.914139000008</v>
      </c>
      <c r="P119" s="23">
        <f t="shared" si="27"/>
        <v>40679.446307500002</v>
      </c>
      <c r="Q119" s="23">
        <f t="shared" si="27"/>
        <v>41131.442940000015</v>
      </c>
      <c r="R119" s="24">
        <f t="shared" si="27"/>
        <v>164824.62048150002</v>
      </c>
      <c r="S119" s="23">
        <f t="shared" si="27"/>
        <v>41583.436072500001</v>
      </c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</row>
    <row r="120" spans="2:36" x14ac:dyDescent="0.4">
      <c r="B120" s="13">
        <v>23</v>
      </c>
      <c r="C120" s="13" t="s">
        <v>0</v>
      </c>
      <c r="D120" s="19"/>
      <c r="E120" s="19"/>
      <c r="F120" s="19"/>
      <c r="G120" s="19"/>
      <c r="H120" s="20"/>
      <c r="I120" s="19"/>
      <c r="J120" s="19"/>
      <c r="K120" s="19"/>
      <c r="L120" s="19"/>
      <c r="M120" s="20"/>
      <c r="N120" s="19"/>
      <c r="O120" s="19"/>
      <c r="P120" s="19"/>
      <c r="Q120" s="19"/>
      <c r="R120" s="20"/>
      <c r="S120" s="19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</row>
    <row r="121" spans="2:36" x14ac:dyDescent="0.4">
      <c r="B121" s="16"/>
      <c r="C121" s="16" t="s">
        <v>1</v>
      </c>
      <c r="D121" s="17">
        <v>0</v>
      </c>
      <c r="E121" s="17">
        <v>0</v>
      </c>
      <c r="F121" s="17">
        <v>0</v>
      </c>
      <c r="G121" s="17">
        <v>0</v>
      </c>
      <c r="H121" s="18">
        <f t="shared" si="15"/>
        <v>0</v>
      </c>
      <c r="I121" s="17">
        <v>0</v>
      </c>
      <c r="J121" s="17">
        <v>0</v>
      </c>
      <c r="K121" s="17">
        <v>0</v>
      </c>
      <c r="L121" s="17">
        <v>0</v>
      </c>
      <c r="M121" s="18">
        <f t="shared" si="16"/>
        <v>0</v>
      </c>
      <c r="N121" s="17">
        <v>0</v>
      </c>
      <c r="O121" s="17">
        <v>0</v>
      </c>
      <c r="P121" s="17">
        <v>25279.281767955803</v>
      </c>
      <c r="Q121" s="17">
        <v>33899.627071823204</v>
      </c>
      <c r="R121" s="18">
        <f t="shared" si="17"/>
        <v>59178.908839779004</v>
      </c>
      <c r="S121" s="17">
        <v>34822.726275933579</v>
      </c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</row>
    <row r="122" spans="2:36" x14ac:dyDescent="0.4">
      <c r="B122" s="16"/>
      <c r="C122" s="16" t="s">
        <v>2</v>
      </c>
      <c r="D122" s="17">
        <v>1211.6904109589043</v>
      </c>
      <c r="E122" s="17">
        <v>1211.6904109589043</v>
      </c>
      <c r="F122" s="17">
        <v>1185.3493150684931</v>
      </c>
      <c r="G122" s="17">
        <v>1182.9742982259149</v>
      </c>
      <c r="H122" s="18">
        <f t="shared" si="15"/>
        <v>4791.7044352122166</v>
      </c>
      <c r="I122" s="17">
        <v>1208.3797231100002</v>
      </c>
      <c r="J122" s="17">
        <v>1208.3797231100002</v>
      </c>
      <c r="K122" s="17">
        <v>1195.2451175000001</v>
      </c>
      <c r="L122" s="17">
        <v>1387.2761349999998</v>
      </c>
      <c r="M122" s="18">
        <f t="shared" si="16"/>
        <v>4999.2806987200001</v>
      </c>
      <c r="N122" s="17">
        <v>1454.0284499999998</v>
      </c>
      <c r="O122" s="17">
        <v>1454.02845</v>
      </c>
      <c r="P122" s="17">
        <v>1422.419075</v>
      </c>
      <c r="Q122" s="17">
        <v>379.31180000000001</v>
      </c>
      <c r="R122" s="18">
        <f t="shared" si="17"/>
        <v>4709.7877749999998</v>
      </c>
      <c r="S122" s="17">
        <v>0</v>
      </c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</row>
    <row r="123" spans="2:36" x14ac:dyDescent="0.4">
      <c r="B123" s="16"/>
      <c r="C123" s="16" t="s">
        <v>16</v>
      </c>
      <c r="D123" s="17">
        <v>0</v>
      </c>
      <c r="E123" s="17">
        <v>0</v>
      </c>
      <c r="F123" s="17">
        <v>0</v>
      </c>
      <c r="G123" s="17">
        <v>0</v>
      </c>
      <c r="H123" s="18">
        <f t="shared" si="15"/>
        <v>0</v>
      </c>
      <c r="I123" s="17">
        <v>0</v>
      </c>
      <c r="J123" s="17">
        <v>0</v>
      </c>
      <c r="K123" s="17">
        <v>0</v>
      </c>
      <c r="L123" s="17">
        <v>0</v>
      </c>
      <c r="M123" s="18">
        <f t="shared" si="16"/>
        <v>0</v>
      </c>
      <c r="N123" s="17">
        <v>0</v>
      </c>
      <c r="O123" s="17">
        <v>976.5</v>
      </c>
      <c r="P123" s="17">
        <v>1165.5</v>
      </c>
      <c r="Q123" s="17">
        <v>2866.4999999999991</v>
      </c>
      <c r="R123" s="18">
        <f t="shared" si="17"/>
        <v>5008.4999999999991</v>
      </c>
      <c r="S123" s="17">
        <v>2898.0000000000009</v>
      </c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</row>
    <row r="124" spans="2:36" x14ac:dyDescent="0.4">
      <c r="B124" s="13"/>
      <c r="C124" s="22" t="s">
        <v>3</v>
      </c>
      <c r="D124" s="23">
        <f t="shared" ref="D124:S124" si="28">SUM(D121:D123)</f>
        <v>1211.6904109589043</v>
      </c>
      <c r="E124" s="23">
        <f t="shared" si="28"/>
        <v>1211.6904109589043</v>
      </c>
      <c r="F124" s="23">
        <f t="shared" si="28"/>
        <v>1185.3493150684931</v>
      </c>
      <c r="G124" s="23">
        <f t="shared" si="28"/>
        <v>1182.9742982259149</v>
      </c>
      <c r="H124" s="24">
        <f t="shared" si="28"/>
        <v>4791.7044352122166</v>
      </c>
      <c r="I124" s="23">
        <f t="shared" si="28"/>
        <v>1208.3797231100002</v>
      </c>
      <c r="J124" s="23">
        <f t="shared" si="28"/>
        <v>1208.3797231100002</v>
      </c>
      <c r="K124" s="23">
        <f t="shared" si="28"/>
        <v>1195.2451175000001</v>
      </c>
      <c r="L124" s="23">
        <f t="shared" si="28"/>
        <v>1387.2761349999998</v>
      </c>
      <c r="M124" s="24">
        <f t="shared" si="28"/>
        <v>4999.2806987200001</v>
      </c>
      <c r="N124" s="23">
        <f t="shared" si="28"/>
        <v>1454.0284499999998</v>
      </c>
      <c r="O124" s="23">
        <f t="shared" si="28"/>
        <v>2430.5284499999998</v>
      </c>
      <c r="P124" s="23">
        <f t="shared" si="28"/>
        <v>27867.200842955805</v>
      </c>
      <c r="Q124" s="23">
        <f t="shared" si="28"/>
        <v>37145.438871823208</v>
      </c>
      <c r="R124" s="24">
        <f t="shared" si="28"/>
        <v>68897.196614778994</v>
      </c>
      <c r="S124" s="23">
        <f t="shared" si="28"/>
        <v>37720.726275933579</v>
      </c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</row>
    <row r="125" spans="2:36" x14ac:dyDescent="0.4">
      <c r="B125" s="13">
        <v>24</v>
      </c>
      <c r="C125" s="13" t="s">
        <v>0</v>
      </c>
      <c r="D125" s="19"/>
      <c r="E125" s="19"/>
      <c r="F125" s="19"/>
      <c r="G125" s="19"/>
      <c r="H125" s="20"/>
      <c r="I125" s="19"/>
      <c r="J125" s="19"/>
      <c r="K125" s="19"/>
      <c r="L125" s="19"/>
      <c r="M125" s="20"/>
      <c r="N125" s="19"/>
      <c r="O125" s="19"/>
      <c r="P125" s="19"/>
      <c r="Q125" s="19"/>
      <c r="R125" s="20"/>
      <c r="S125" s="19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</row>
    <row r="126" spans="2:36" x14ac:dyDescent="0.4">
      <c r="B126" s="16"/>
      <c r="C126" s="16" t="s">
        <v>1</v>
      </c>
      <c r="D126" s="17">
        <v>0</v>
      </c>
      <c r="E126" s="17">
        <v>0</v>
      </c>
      <c r="F126" s="17">
        <v>0</v>
      </c>
      <c r="G126" s="17">
        <v>0</v>
      </c>
      <c r="H126" s="18">
        <f t="shared" si="15"/>
        <v>0</v>
      </c>
      <c r="I126" s="17">
        <v>0</v>
      </c>
      <c r="J126" s="17">
        <v>0</v>
      </c>
      <c r="K126" s="17">
        <v>0</v>
      </c>
      <c r="L126" s="17">
        <v>10278.130024509805</v>
      </c>
      <c r="M126" s="18">
        <f t="shared" si="16"/>
        <v>10278.130024509805</v>
      </c>
      <c r="N126" s="17">
        <v>19450.634866794546</v>
      </c>
      <c r="O126" s="17">
        <v>16545.026829939463</v>
      </c>
      <c r="P126" s="17">
        <v>14754.481902351696</v>
      </c>
      <c r="Q126" s="17">
        <v>18993.826085955454</v>
      </c>
      <c r="R126" s="18">
        <f t="shared" si="17"/>
        <v>69743.969685041156</v>
      </c>
      <c r="S126" s="17">
        <v>23917.348538845334</v>
      </c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</row>
    <row r="127" spans="2:36" x14ac:dyDescent="0.4">
      <c r="B127" s="16"/>
      <c r="C127" s="16" t="s">
        <v>16</v>
      </c>
      <c r="D127" s="17">
        <v>0</v>
      </c>
      <c r="E127" s="17">
        <v>0</v>
      </c>
      <c r="F127" s="17">
        <v>0</v>
      </c>
      <c r="G127" s="17">
        <v>0</v>
      </c>
      <c r="H127" s="18">
        <f t="shared" si="15"/>
        <v>0</v>
      </c>
      <c r="I127" s="17">
        <v>0</v>
      </c>
      <c r="J127" s="17">
        <v>0</v>
      </c>
      <c r="K127" s="17">
        <v>0</v>
      </c>
      <c r="L127" s="17">
        <v>0</v>
      </c>
      <c r="M127" s="18">
        <f t="shared" si="16"/>
        <v>0</v>
      </c>
      <c r="N127" s="17">
        <v>434.95890410958901</v>
      </c>
      <c r="O127" s="17">
        <v>741.04109589041104</v>
      </c>
      <c r="P127" s="17">
        <v>724.93150684931516</v>
      </c>
      <c r="Q127" s="17">
        <v>1167.9488013698626</v>
      </c>
      <c r="R127" s="18">
        <f t="shared" si="17"/>
        <v>3068.880308219178</v>
      </c>
      <c r="S127" s="17">
        <v>1047.1160958904097</v>
      </c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</row>
    <row r="128" spans="2:36" x14ac:dyDescent="0.4">
      <c r="B128" s="16"/>
      <c r="C128" s="16" t="s">
        <v>15</v>
      </c>
      <c r="D128" s="17">
        <v>0</v>
      </c>
      <c r="E128" s="17">
        <v>0</v>
      </c>
      <c r="F128" s="17">
        <v>0</v>
      </c>
      <c r="G128" s="17">
        <v>0</v>
      </c>
      <c r="H128" s="18">
        <f t="shared" si="15"/>
        <v>0</v>
      </c>
      <c r="I128" s="17">
        <v>0</v>
      </c>
      <c r="J128" s="17">
        <v>0</v>
      </c>
      <c r="K128" s="17">
        <v>0</v>
      </c>
      <c r="L128" s="17">
        <v>0</v>
      </c>
      <c r="M128" s="18">
        <f t="shared" si="16"/>
        <v>0</v>
      </c>
      <c r="N128" s="17">
        <v>13300</v>
      </c>
      <c r="O128" s="17">
        <v>0</v>
      </c>
      <c r="P128" s="17">
        <v>0</v>
      </c>
      <c r="Q128" s="17">
        <v>0</v>
      </c>
      <c r="R128" s="18">
        <f t="shared" si="17"/>
        <v>13300</v>
      </c>
      <c r="S128" s="17">
        <v>12250</v>
      </c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</row>
    <row r="129" spans="2:36" x14ac:dyDescent="0.4">
      <c r="B129" s="13"/>
      <c r="C129" s="22" t="s">
        <v>3</v>
      </c>
      <c r="D129" s="23">
        <f t="shared" ref="D129:S129" si="29">SUM(D126:D128)</f>
        <v>0</v>
      </c>
      <c r="E129" s="23">
        <f t="shared" si="29"/>
        <v>0</v>
      </c>
      <c r="F129" s="23">
        <f t="shared" si="29"/>
        <v>0</v>
      </c>
      <c r="G129" s="23">
        <f t="shared" si="29"/>
        <v>0</v>
      </c>
      <c r="H129" s="24">
        <f t="shared" si="29"/>
        <v>0</v>
      </c>
      <c r="I129" s="23">
        <f t="shared" si="29"/>
        <v>0</v>
      </c>
      <c r="J129" s="23">
        <f t="shared" si="29"/>
        <v>0</v>
      </c>
      <c r="K129" s="23">
        <f t="shared" si="29"/>
        <v>0</v>
      </c>
      <c r="L129" s="23">
        <f t="shared" si="29"/>
        <v>10278.130024509805</v>
      </c>
      <c r="M129" s="24">
        <f t="shared" si="29"/>
        <v>10278.130024509805</v>
      </c>
      <c r="N129" s="23">
        <f t="shared" si="29"/>
        <v>33185.593770904132</v>
      </c>
      <c r="O129" s="23">
        <f t="shared" si="29"/>
        <v>17286.067925829873</v>
      </c>
      <c r="P129" s="23">
        <f t="shared" si="29"/>
        <v>15479.41340920101</v>
      </c>
      <c r="Q129" s="23">
        <f t="shared" si="29"/>
        <v>20161.774887325315</v>
      </c>
      <c r="R129" s="24">
        <f t="shared" si="29"/>
        <v>86112.84999326033</v>
      </c>
      <c r="S129" s="23">
        <f t="shared" si="29"/>
        <v>37214.464634735748</v>
      </c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</row>
    <row r="130" spans="2:36" x14ac:dyDescent="0.4">
      <c r="B130" s="13">
        <v>25</v>
      </c>
      <c r="C130" s="13" t="s">
        <v>0</v>
      </c>
      <c r="D130" s="19"/>
      <c r="E130" s="19"/>
      <c r="F130" s="19"/>
      <c r="G130" s="19"/>
      <c r="H130" s="20"/>
      <c r="I130" s="19"/>
      <c r="J130" s="19"/>
      <c r="K130" s="19"/>
      <c r="L130" s="19"/>
      <c r="M130" s="20"/>
      <c r="N130" s="19"/>
      <c r="O130" s="19"/>
      <c r="P130" s="19"/>
      <c r="Q130" s="19"/>
      <c r="R130" s="20"/>
      <c r="S130" s="19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</row>
    <row r="131" spans="2:36" x14ac:dyDescent="0.4">
      <c r="B131" s="16"/>
      <c r="C131" s="16" t="s">
        <v>1</v>
      </c>
      <c r="D131" s="17">
        <v>0</v>
      </c>
      <c r="E131" s="17">
        <v>0</v>
      </c>
      <c r="F131" s="17">
        <v>0</v>
      </c>
      <c r="G131" s="17">
        <v>0</v>
      </c>
      <c r="H131" s="18">
        <f t="shared" si="15"/>
        <v>0</v>
      </c>
      <c r="I131" s="17">
        <v>0</v>
      </c>
      <c r="J131" s="17">
        <v>0</v>
      </c>
      <c r="K131" s="17">
        <v>3715.7534246575524</v>
      </c>
      <c r="L131" s="17">
        <v>33813.356164383549</v>
      </c>
      <c r="M131" s="18">
        <f t="shared" si="16"/>
        <v>37529.109589041102</v>
      </c>
      <c r="N131" s="17">
        <v>34184.931506849309</v>
      </c>
      <c r="O131" s="17">
        <v>34184.931506849316</v>
      </c>
      <c r="P131" s="17">
        <v>32985.582191780835</v>
      </c>
      <c r="Q131" s="17">
        <v>29661.948630136969</v>
      </c>
      <c r="R131" s="18">
        <f t="shared" si="17"/>
        <v>131017.39383561644</v>
      </c>
      <c r="S131" s="17">
        <v>29987.904109589042</v>
      </c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</row>
    <row r="132" spans="2:36" x14ac:dyDescent="0.4">
      <c r="B132" s="16"/>
      <c r="C132" s="16" t="s">
        <v>16</v>
      </c>
      <c r="D132" s="17">
        <v>0</v>
      </c>
      <c r="E132" s="17">
        <v>0</v>
      </c>
      <c r="F132" s="17">
        <v>0</v>
      </c>
      <c r="G132" s="17">
        <v>0</v>
      </c>
      <c r="H132" s="18">
        <f t="shared" si="15"/>
        <v>0</v>
      </c>
      <c r="I132" s="17">
        <v>0</v>
      </c>
      <c r="J132" s="17">
        <v>0</v>
      </c>
      <c r="K132" s="17">
        <v>613.31506849315156</v>
      </c>
      <c r="L132" s="17">
        <v>5581.1671232876715</v>
      </c>
      <c r="M132" s="18">
        <f t="shared" si="16"/>
        <v>6194.4821917808231</v>
      </c>
      <c r="N132" s="17">
        <v>5642.4986301369854</v>
      </c>
      <c r="O132" s="17">
        <v>5642.4986301369863</v>
      </c>
      <c r="P132" s="17">
        <v>5370.2465753424667</v>
      </c>
      <c r="Q132" s="17">
        <v>4219.906849315068</v>
      </c>
      <c r="R132" s="18">
        <f t="shared" si="17"/>
        <v>20875.150684931505</v>
      </c>
      <c r="S132" s="17">
        <v>4266.2794520547941</v>
      </c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</row>
    <row r="133" spans="2:36" x14ac:dyDescent="0.4">
      <c r="B133" s="16"/>
      <c r="C133" s="16" t="s">
        <v>15</v>
      </c>
      <c r="D133" s="17">
        <v>0</v>
      </c>
      <c r="E133" s="17">
        <v>0</v>
      </c>
      <c r="F133" s="17">
        <v>0</v>
      </c>
      <c r="G133" s="17">
        <v>0</v>
      </c>
      <c r="H133" s="18">
        <f t="shared" si="15"/>
        <v>0</v>
      </c>
      <c r="I133" s="17">
        <v>0</v>
      </c>
      <c r="J133" s="17">
        <v>7087.5</v>
      </c>
      <c r="K133" s="17">
        <v>0</v>
      </c>
      <c r="L133" s="17">
        <v>0</v>
      </c>
      <c r="M133" s="18">
        <f t="shared" si="16"/>
        <v>7087.5</v>
      </c>
      <c r="N133" s="17">
        <v>0</v>
      </c>
      <c r="O133" s="17">
        <v>0</v>
      </c>
      <c r="P133" s="17">
        <v>0</v>
      </c>
      <c r="Q133" s="17">
        <v>0</v>
      </c>
      <c r="R133" s="18">
        <f t="shared" si="17"/>
        <v>0</v>
      </c>
      <c r="S133" s="17">
        <v>0</v>
      </c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</row>
    <row r="134" spans="2:36" x14ac:dyDescent="0.4">
      <c r="B134" s="13"/>
      <c r="C134" s="22" t="s">
        <v>3</v>
      </c>
      <c r="D134" s="23">
        <f t="shared" ref="D134:S134" si="30">SUM(D131:D133)</f>
        <v>0</v>
      </c>
      <c r="E134" s="23">
        <f t="shared" si="30"/>
        <v>0</v>
      </c>
      <c r="F134" s="23">
        <f t="shared" si="30"/>
        <v>0</v>
      </c>
      <c r="G134" s="23">
        <f t="shared" si="30"/>
        <v>0</v>
      </c>
      <c r="H134" s="24">
        <f t="shared" si="30"/>
        <v>0</v>
      </c>
      <c r="I134" s="23">
        <f t="shared" si="30"/>
        <v>0</v>
      </c>
      <c r="J134" s="23">
        <f t="shared" si="30"/>
        <v>7087.5</v>
      </c>
      <c r="K134" s="23">
        <f t="shared" si="30"/>
        <v>4329.0684931507039</v>
      </c>
      <c r="L134" s="23">
        <f t="shared" si="30"/>
        <v>39394.523287671218</v>
      </c>
      <c r="M134" s="24">
        <f t="shared" si="30"/>
        <v>50811.091780821924</v>
      </c>
      <c r="N134" s="23">
        <f t="shared" si="30"/>
        <v>39827.430136986295</v>
      </c>
      <c r="O134" s="23">
        <f t="shared" si="30"/>
        <v>39827.430136986302</v>
      </c>
      <c r="P134" s="23">
        <f t="shared" si="30"/>
        <v>38355.828767123305</v>
      </c>
      <c r="Q134" s="23">
        <f t="shared" si="30"/>
        <v>33881.855479452039</v>
      </c>
      <c r="R134" s="24">
        <f t="shared" si="30"/>
        <v>151892.54452054796</v>
      </c>
      <c r="S134" s="23">
        <f t="shared" si="30"/>
        <v>34254.183561643833</v>
      </c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</row>
    <row r="135" spans="2:36" x14ac:dyDescent="0.4">
      <c r="B135" s="13">
        <v>26</v>
      </c>
      <c r="C135" s="13" t="s">
        <v>0</v>
      </c>
      <c r="D135" s="19"/>
      <c r="E135" s="19"/>
      <c r="F135" s="19"/>
      <c r="G135" s="19"/>
      <c r="H135" s="20"/>
      <c r="I135" s="19"/>
      <c r="J135" s="19"/>
      <c r="K135" s="19"/>
      <c r="L135" s="19"/>
      <c r="M135" s="20"/>
      <c r="N135" s="19"/>
      <c r="O135" s="19"/>
      <c r="P135" s="19"/>
      <c r="Q135" s="19"/>
      <c r="R135" s="20"/>
      <c r="S135" s="19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</row>
    <row r="136" spans="2:36" x14ac:dyDescent="0.4">
      <c r="B136" s="16"/>
      <c r="C136" s="16" t="s">
        <v>2</v>
      </c>
      <c r="D136" s="17">
        <v>12898.47309589042</v>
      </c>
      <c r="E136" s="17">
        <v>12898.473095890424</v>
      </c>
      <c r="F136" s="17">
        <v>12011.914071187955</v>
      </c>
      <c r="G136" s="17">
        <v>11127.424057377051</v>
      </c>
      <c r="H136" s="18">
        <f t="shared" si="15"/>
        <v>48936.284320345847</v>
      </c>
      <c r="I136" s="17">
        <v>11249.70339031</v>
      </c>
      <c r="J136" s="17">
        <v>11249.703390309998</v>
      </c>
      <c r="K136" s="17">
        <v>11273.071328750004</v>
      </c>
      <c r="L136" s="17">
        <v>11206.182417499998</v>
      </c>
      <c r="M136" s="18">
        <f t="shared" si="16"/>
        <v>44978.66052687</v>
      </c>
      <c r="N136" s="17">
        <v>11329.327292499996</v>
      </c>
      <c r="O136" s="17">
        <v>11329.327292499995</v>
      </c>
      <c r="P136" s="17">
        <v>11083.037542499998</v>
      </c>
      <c r="Q136" s="17">
        <v>11206.1822075</v>
      </c>
      <c r="R136" s="18">
        <f t="shared" si="17"/>
        <v>44947.874334999993</v>
      </c>
      <c r="S136" s="17">
        <v>11329.327187499999</v>
      </c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</row>
    <row r="137" spans="2:36" x14ac:dyDescent="0.4">
      <c r="B137" s="16"/>
      <c r="C137" s="16" t="s">
        <v>16</v>
      </c>
      <c r="D137" s="17">
        <v>0</v>
      </c>
      <c r="E137" s="17">
        <v>0</v>
      </c>
      <c r="F137" s="17">
        <v>575.60136986301427</v>
      </c>
      <c r="G137" s="17">
        <v>1540.5801369863009</v>
      </c>
      <c r="H137" s="18">
        <f t="shared" ref="H137:H199" si="31">SUM(D137:G137)</f>
        <v>2116.1815068493152</v>
      </c>
      <c r="I137" s="17">
        <v>1557.5095890410958</v>
      </c>
      <c r="J137" s="17">
        <v>1557.509589041096</v>
      </c>
      <c r="K137" s="17">
        <v>1538.9612003143943</v>
      </c>
      <c r="L137" s="17">
        <v>1553.2540983606559</v>
      </c>
      <c r="M137" s="18">
        <f t="shared" ref="M137:M199" si="32">SUM(I137:L137)</f>
        <v>6207.2344767572413</v>
      </c>
      <c r="N137" s="17">
        <v>1553.2540983606559</v>
      </c>
      <c r="O137" s="17">
        <v>1553.2540983606559</v>
      </c>
      <c r="P137" s="17">
        <v>1521.1066415899395</v>
      </c>
      <c r="Q137" s="17">
        <v>1540.5801369863016</v>
      </c>
      <c r="R137" s="18">
        <f t="shared" ref="R137:R199" si="33">SUM(N137:Q137)</f>
        <v>6168.1949752975524</v>
      </c>
      <c r="S137" s="17">
        <v>1557.5095890410953</v>
      </c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</row>
    <row r="138" spans="2:36" x14ac:dyDescent="0.4">
      <c r="B138" s="16"/>
      <c r="C138" s="16" t="s">
        <v>15</v>
      </c>
      <c r="D138" s="17">
        <v>0</v>
      </c>
      <c r="E138" s="17">
        <v>7000</v>
      </c>
      <c r="F138" s="17">
        <v>0</v>
      </c>
      <c r="G138" s="17">
        <v>0</v>
      </c>
      <c r="H138" s="18">
        <f t="shared" si="31"/>
        <v>7000</v>
      </c>
      <c r="I138" s="17">
        <v>7000</v>
      </c>
      <c r="J138" s="17">
        <v>7000</v>
      </c>
      <c r="K138" s="17">
        <v>7000</v>
      </c>
      <c r="L138" s="17">
        <v>7000</v>
      </c>
      <c r="M138" s="18">
        <f t="shared" si="32"/>
        <v>28000</v>
      </c>
      <c r="N138" s="17">
        <v>14000</v>
      </c>
      <c r="O138" s="17">
        <v>21000</v>
      </c>
      <c r="P138" s="17">
        <v>8925</v>
      </c>
      <c r="Q138" s="17">
        <v>14875</v>
      </c>
      <c r="R138" s="18">
        <f t="shared" si="33"/>
        <v>58800</v>
      </c>
      <c r="S138" s="17">
        <v>20562.5</v>
      </c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</row>
    <row r="139" spans="2:36" x14ac:dyDescent="0.4">
      <c r="B139" s="16"/>
      <c r="C139" s="16" t="s">
        <v>14</v>
      </c>
      <c r="D139" s="17">
        <v>0</v>
      </c>
      <c r="E139" s="17">
        <v>0</v>
      </c>
      <c r="F139" s="17">
        <v>0</v>
      </c>
      <c r="G139" s="17">
        <v>22750</v>
      </c>
      <c r="H139" s="18">
        <f t="shared" si="31"/>
        <v>22750</v>
      </c>
      <c r="I139" s="17">
        <v>0</v>
      </c>
      <c r="J139" s="17">
        <v>0</v>
      </c>
      <c r="K139" s="17">
        <v>0</v>
      </c>
      <c r="L139" s="17">
        <v>0</v>
      </c>
      <c r="M139" s="18">
        <f t="shared" si="32"/>
        <v>0</v>
      </c>
      <c r="N139" s="17">
        <v>0</v>
      </c>
      <c r="O139" s="17">
        <v>0</v>
      </c>
      <c r="P139" s="17">
        <v>0</v>
      </c>
      <c r="Q139" s="17">
        <v>0</v>
      </c>
      <c r="R139" s="18">
        <f t="shared" si="33"/>
        <v>0</v>
      </c>
      <c r="S139" s="17">
        <v>0</v>
      </c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</row>
    <row r="140" spans="2:36" x14ac:dyDescent="0.4">
      <c r="B140" s="13"/>
      <c r="C140" s="22" t="s">
        <v>3</v>
      </c>
      <c r="D140" s="23">
        <f t="shared" ref="D140:S140" si="34">SUM(D136:D139)</f>
        <v>12898.47309589042</v>
      </c>
      <c r="E140" s="23">
        <f t="shared" si="34"/>
        <v>19898.473095890426</v>
      </c>
      <c r="F140" s="23">
        <f t="shared" si="34"/>
        <v>12587.515441050969</v>
      </c>
      <c r="G140" s="23">
        <f t="shared" si="34"/>
        <v>35418.004194363355</v>
      </c>
      <c r="H140" s="24">
        <f t="shared" si="34"/>
        <v>80802.465827195163</v>
      </c>
      <c r="I140" s="23">
        <f t="shared" si="34"/>
        <v>19807.212979351098</v>
      </c>
      <c r="J140" s="23">
        <f t="shared" si="34"/>
        <v>19807.212979351094</v>
      </c>
      <c r="K140" s="23">
        <f t="shared" si="34"/>
        <v>19812.032529064396</v>
      </c>
      <c r="L140" s="23">
        <f t="shared" si="34"/>
        <v>19759.436515860652</v>
      </c>
      <c r="M140" s="24">
        <f t="shared" si="34"/>
        <v>79185.895003627244</v>
      </c>
      <c r="N140" s="23">
        <f t="shared" si="34"/>
        <v>26882.581390860651</v>
      </c>
      <c r="O140" s="23">
        <f t="shared" si="34"/>
        <v>33882.581390860651</v>
      </c>
      <c r="P140" s="23">
        <f t="shared" si="34"/>
        <v>21529.144184089939</v>
      </c>
      <c r="Q140" s="23">
        <f t="shared" si="34"/>
        <v>27621.762344486302</v>
      </c>
      <c r="R140" s="24">
        <f t="shared" si="34"/>
        <v>109916.06931029755</v>
      </c>
      <c r="S140" s="23">
        <f t="shared" si="34"/>
        <v>33449.336776541095</v>
      </c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</row>
    <row r="141" spans="2:36" x14ac:dyDescent="0.4">
      <c r="B141" s="13">
        <v>27</v>
      </c>
      <c r="C141" s="13" t="s">
        <v>0</v>
      </c>
      <c r="D141" s="19"/>
      <c r="E141" s="19"/>
      <c r="F141" s="19"/>
      <c r="G141" s="19"/>
      <c r="H141" s="20"/>
      <c r="I141" s="19"/>
      <c r="J141" s="19"/>
      <c r="K141" s="19"/>
      <c r="L141" s="19"/>
      <c r="M141" s="20"/>
      <c r="N141" s="19"/>
      <c r="O141" s="19"/>
      <c r="P141" s="19"/>
      <c r="Q141" s="19"/>
      <c r="R141" s="20"/>
      <c r="S141" s="19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</row>
    <row r="142" spans="2:36" x14ac:dyDescent="0.4">
      <c r="B142" s="16"/>
      <c r="C142" s="16" t="s">
        <v>2</v>
      </c>
      <c r="D142" s="17">
        <v>0</v>
      </c>
      <c r="E142" s="17">
        <v>0</v>
      </c>
      <c r="F142" s="17">
        <v>0</v>
      </c>
      <c r="G142" s="17">
        <v>19813.012295081968</v>
      </c>
      <c r="H142" s="18">
        <f t="shared" si="31"/>
        <v>19813.012295081968</v>
      </c>
      <c r="I142" s="17">
        <v>24303.961656135001</v>
      </c>
      <c r="J142" s="17">
        <v>24303.961656135001</v>
      </c>
      <c r="K142" s="17">
        <v>24039.786767500009</v>
      </c>
      <c r="L142" s="17">
        <v>25977.581472500009</v>
      </c>
      <c r="M142" s="18">
        <f t="shared" si="32"/>
        <v>98625.29155227002</v>
      </c>
      <c r="N142" s="17">
        <v>26680.987672500014</v>
      </c>
      <c r="O142" s="17">
        <v>26680.987672500014</v>
      </c>
      <c r="P142" s="17">
        <v>26100.969195000005</v>
      </c>
      <c r="Q142" s="17">
        <v>29456.035402500005</v>
      </c>
      <c r="R142" s="18">
        <f t="shared" si="33"/>
        <v>108918.97994250004</v>
      </c>
      <c r="S142" s="17">
        <v>30859.872242500005</v>
      </c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</row>
    <row r="143" spans="2:36" x14ac:dyDescent="0.4">
      <c r="B143" s="16"/>
      <c r="C143" s="16" t="s">
        <v>14</v>
      </c>
      <c r="D143" s="17">
        <v>0</v>
      </c>
      <c r="E143" s="17">
        <v>0</v>
      </c>
      <c r="F143" s="17">
        <v>0</v>
      </c>
      <c r="G143" s="17">
        <v>0</v>
      </c>
      <c r="H143" s="18">
        <f t="shared" si="31"/>
        <v>0</v>
      </c>
      <c r="I143" s="17">
        <v>0</v>
      </c>
      <c r="J143" s="17">
        <v>0</v>
      </c>
      <c r="K143" s="17">
        <v>0</v>
      </c>
      <c r="L143" s="17">
        <v>22403.5</v>
      </c>
      <c r="M143" s="18">
        <f t="shared" si="32"/>
        <v>22403.5</v>
      </c>
      <c r="N143" s="17">
        <v>0</v>
      </c>
      <c r="O143" s="17">
        <v>0</v>
      </c>
      <c r="P143" s="17">
        <v>25275.25</v>
      </c>
      <c r="Q143" s="17">
        <v>30485</v>
      </c>
      <c r="R143" s="18">
        <f t="shared" si="33"/>
        <v>55760.25</v>
      </c>
      <c r="S143" s="17">
        <v>0</v>
      </c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</row>
    <row r="144" spans="2:36" x14ac:dyDescent="0.4">
      <c r="B144" s="13"/>
      <c r="C144" s="22" t="s">
        <v>3</v>
      </c>
      <c r="D144" s="23">
        <f t="shared" ref="D144:S144" si="35">SUM(D142:D143)</f>
        <v>0</v>
      </c>
      <c r="E144" s="23">
        <f t="shared" si="35"/>
        <v>0</v>
      </c>
      <c r="F144" s="23">
        <f t="shared" si="35"/>
        <v>0</v>
      </c>
      <c r="G144" s="23">
        <f t="shared" si="35"/>
        <v>19813.012295081968</v>
      </c>
      <c r="H144" s="24">
        <f t="shared" si="35"/>
        <v>19813.012295081968</v>
      </c>
      <c r="I144" s="23">
        <f t="shared" si="35"/>
        <v>24303.961656135001</v>
      </c>
      <c r="J144" s="23">
        <f t="shared" si="35"/>
        <v>24303.961656135001</v>
      </c>
      <c r="K144" s="23">
        <f t="shared" si="35"/>
        <v>24039.786767500009</v>
      </c>
      <c r="L144" s="23">
        <f t="shared" si="35"/>
        <v>48381.081472500009</v>
      </c>
      <c r="M144" s="24">
        <f t="shared" si="35"/>
        <v>121028.79155227002</v>
      </c>
      <c r="N144" s="23">
        <f t="shared" si="35"/>
        <v>26680.987672500014</v>
      </c>
      <c r="O144" s="23">
        <f t="shared" si="35"/>
        <v>26680.987672500014</v>
      </c>
      <c r="P144" s="23">
        <f t="shared" si="35"/>
        <v>51376.219195000005</v>
      </c>
      <c r="Q144" s="23">
        <f t="shared" si="35"/>
        <v>59941.035402500005</v>
      </c>
      <c r="R144" s="24">
        <f t="shared" si="35"/>
        <v>164679.22994250004</v>
      </c>
      <c r="S144" s="23">
        <f t="shared" si="35"/>
        <v>30859.872242500005</v>
      </c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</row>
    <row r="145" spans="2:36" x14ac:dyDescent="0.4">
      <c r="B145" s="13">
        <v>28</v>
      </c>
      <c r="C145" s="13" t="s">
        <v>0</v>
      </c>
      <c r="D145" s="19"/>
      <c r="E145" s="19"/>
      <c r="F145" s="19"/>
      <c r="G145" s="19"/>
      <c r="H145" s="20"/>
      <c r="I145" s="19"/>
      <c r="J145" s="19"/>
      <c r="K145" s="19"/>
      <c r="L145" s="19"/>
      <c r="M145" s="20"/>
      <c r="N145" s="19"/>
      <c r="O145" s="19"/>
      <c r="P145" s="19"/>
      <c r="Q145" s="19"/>
      <c r="R145" s="20"/>
      <c r="S145" s="19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</row>
    <row r="146" spans="2:36" x14ac:dyDescent="0.4">
      <c r="B146" s="16"/>
      <c r="C146" s="16" t="s">
        <v>2</v>
      </c>
      <c r="D146" s="17">
        <v>26505.89315068494</v>
      </c>
      <c r="E146" s="17">
        <v>26505.893150684929</v>
      </c>
      <c r="F146" s="17">
        <v>25929.678082191775</v>
      </c>
      <c r="G146" s="17">
        <v>25929.678082191778</v>
      </c>
      <c r="H146" s="18">
        <f t="shared" si="31"/>
        <v>104871.14246575342</v>
      </c>
      <c r="I146" s="17">
        <v>25626.098353292502</v>
      </c>
      <c r="J146" s="17">
        <v>25626.098376716251</v>
      </c>
      <c r="K146" s="17">
        <v>25347.550655000006</v>
      </c>
      <c r="L146" s="17">
        <v>25347.5556775</v>
      </c>
      <c r="M146" s="18">
        <f t="shared" si="32"/>
        <v>101947.30306250876</v>
      </c>
      <c r="N146" s="17">
        <v>28470.226452499992</v>
      </c>
      <c r="O146" s="17">
        <v>28470.226452499996</v>
      </c>
      <c r="P146" s="17">
        <v>27851.309167499996</v>
      </c>
      <c r="Q146" s="17">
        <v>28448.478320499995</v>
      </c>
      <c r="R146" s="18">
        <f t="shared" si="33"/>
        <v>113240.24039299999</v>
      </c>
      <c r="S146" s="17">
        <v>26469.415577499996</v>
      </c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</row>
    <row r="147" spans="2:36" x14ac:dyDescent="0.4">
      <c r="B147" s="16"/>
      <c r="C147" s="16" t="s">
        <v>16</v>
      </c>
      <c r="D147" s="17">
        <v>0</v>
      </c>
      <c r="E147" s="17">
        <v>0</v>
      </c>
      <c r="F147" s="17">
        <v>16.087551299589222</v>
      </c>
      <c r="G147" s="17">
        <v>365.99179206566356</v>
      </c>
      <c r="H147" s="18">
        <f t="shared" si="31"/>
        <v>382.07934336525278</v>
      </c>
      <c r="I147" s="17">
        <v>405.17892864677964</v>
      </c>
      <c r="J147" s="17">
        <v>517.0683565074761</v>
      </c>
      <c r="K147" s="17">
        <v>518.28724340485815</v>
      </c>
      <c r="L147" s="17">
        <v>716.98217913160784</v>
      </c>
      <c r="M147" s="18">
        <f t="shared" si="32"/>
        <v>2157.5167076907219</v>
      </c>
      <c r="N147" s="17">
        <v>841.91607071231147</v>
      </c>
      <c r="O147" s="17">
        <v>1101.2602906934012</v>
      </c>
      <c r="P147" s="17">
        <v>1110.4409437026966</v>
      </c>
      <c r="Q147" s="17">
        <v>1465.9726027397257</v>
      </c>
      <c r="R147" s="18">
        <f t="shared" si="33"/>
        <v>4519.5899078481352</v>
      </c>
      <c r="S147" s="17">
        <v>1482.0821917808221</v>
      </c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</row>
    <row r="148" spans="2:36" x14ac:dyDescent="0.4">
      <c r="B148" s="16"/>
      <c r="C148" s="16" t="s">
        <v>15</v>
      </c>
      <c r="D148" s="17">
        <v>0</v>
      </c>
      <c r="E148" s="17">
        <v>0</v>
      </c>
      <c r="F148" s="17">
        <v>0</v>
      </c>
      <c r="G148" s="17">
        <v>0</v>
      </c>
      <c r="H148" s="18">
        <f t="shared" si="31"/>
        <v>0</v>
      </c>
      <c r="I148" s="17">
        <v>0</v>
      </c>
      <c r="J148" s="17">
        <v>0</v>
      </c>
      <c r="K148" s="17">
        <v>0</v>
      </c>
      <c r="L148" s="17">
        <v>0</v>
      </c>
      <c r="M148" s="18">
        <f t="shared" si="32"/>
        <v>0</v>
      </c>
      <c r="N148" s="17">
        <v>0</v>
      </c>
      <c r="O148" s="17">
        <v>0</v>
      </c>
      <c r="P148" s="17">
        <v>1557.5</v>
      </c>
      <c r="Q148" s="17">
        <v>1557.5</v>
      </c>
      <c r="R148" s="18">
        <f t="shared" si="33"/>
        <v>3115</v>
      </c>
      <c r="S148" s="17">
        <v>0</v>
      </c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</row>
    <row r="149" spans="2:36" x14ac:dyDescent="0.4">
      <c r="B149" s="16"/>
      <c r="C149" s="16" t="s">
        <v>14</v>
      </c>
      <c r="D149" s="17">
        <v>0</v>
      </c>
      <c r="E149" s="17">
        <v>0</v>
      </c>
      <c r="F149" s="17">
        <v>0</v>
      </c>
      <c r="G149" s="17">
        <v>0</v>
      </c>
      <c r="H149" s="18">
        <f t="shared" si="31"/>
        <v>0</v>
      </c>
      <c r="I149" s="17">
        <v>1750</v>
      </c>
      <c r="J149" s="17">
        <v>0</v>
      </c>
      <c r="K149" s="17">
        <v>0</v>
      </c>
      <c r="L149" s="17">
        <v>8258.6</v>
      </c>
      <c r="M149" s="18">
        <f t="shared" si="32"/>
        <v>10008.6</v>
      </c>
      <c r="N149" s="17">
        <v>0</v>
      </c>
      <c r="O149" s="17">
        <v>0</v>
      </c>
      <c r="P149" s="17">
        <v>0</v>
      </c>
      <c r="Q149" s="17">
        <v>0</v>
      </c>
      <c r="R149" s="18">
        <f t="shared" si="33"/>
        <v>0</v>
      </c>
      <c r="S149" s="17">
        <v>0</v>
      </c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</row>
    <row r="150" spans="2:36" x14ac:dyDescent="0.4">
      <c r="B150" s="13"/>
      <c r="C150" s="22" t="s">
        <v>3</v>
      </c>
      <c r="D150" s="23">
        <f t="shared" ref="D150:S150" si="36">SUM(D146:D149)</f>
        <v>26505.89315068494</v>
      </c>
      <c r="E150" s="23">
        <f t="shared" si="36"/>
        <v>26505.893150684929</v>
      </c>
      <c r="F150" s="23">
        <f t="shared" si="36"/>
        <v>25945.765633491363</v>
      </c>
      <c r="G150" s="23">
        <f t="shared" si="36"/>
        <v>26295.669874257441</v>
      </c>
      <c r="H150" s="24">
        <f t="shared" si="36"/>
        <v>105253.22180911868</v>
      </c>
      <c r="I150" s="23">
        <f t="shared" si="36"/>
        <v>27781.277281939281</v>
      </c>
      <c r="J150" s="23">
        <f t="shared" si="36"/>
        <v>26143.166733223727</v>
      </c>
      <c r="K150" s="23">
        <f t="shared" si="36"/>
        <v>25865.837898404865</v>
      </c>
      <c r="L150" s="23">
        <f t="shared" si="36"/>
        <v>34323.137856631605</v>
      </c>
      <c r="M150" s="24">
        <f t="shared" si="36"/>
        <v>114113.41977019949</v>
      </c>
      <c r="N150" s="23">
        <f t="shared" si="36"/>
        <v>29312.142523212304</v>
      </c>
      <c r="O150" s="23">
        <f t="shared" si="36"/>
        <v>29571.486743193396</v>
      </c>
      <c r="P150" s="23">
        <f t="shared" si="36"/>
        <v>30519.250111202691</v>
      </c>
      <c r="Q150" s="23">
        <f t="shared" si="36"/>
        <v>31471.950923239721</v>
      </c>
      <c r="R150" s="24">
        <f t="shared" si="36"/>
        <v>120874.83030084812</v>
      </c>
      <c r="S150" s="23">
        <f t="shared" si="36"/>
        <v>27951.497769280817</v>
      </c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</row>
    <row r="151" spans="2:36" x14ac:dyDescent="0.4">
      <c r="B151" s="13">
        <v>29</v>
      </c>
      <c r="C151" s="13" t="s">
        <v>0</v>
      </c>
      <c r="D151" s="19"/>
      <c r="E151" s="19"/>
      <c r="F151" s="19"/>
      <c r="G151" s="19"/>
      <c r="H151" s="20"/>
      <c r="I151" s="19"/>
      <c r="J151" s="19"/>
      <c r="K151" s="19"/>
      <c r="L151" s="19"/>
      <c r="M151" s="20"/>
      <c r="N151" s="19"/>
      <c r="O151" s="19"/>
      <c r="P151" s="19"/>
      <c r="Q151" s="19"/>
      <c r="R151" s="20"/>
      <c r="S151" s="19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</row>
    <row r="152" spans="2:36" x14ac:dyDescent="0.4">
      <c r="B152" s="16"/>
      <c r="C152" s="16" t="s">
        <v>2</v>
      </c>
      <c r="D152" s="17">
        <v>18418.84109589041</v>
      </c>
      <c r="E152" s="17">
        <v>18418.84109589041</v>
      </c>
      <c r="F152" s="17">
        <v>18018.431506849312</v>
      </c>
      <c r="G152" s="17">
        <v>18018.431506849312</v>
      </c>
      <c r="H152" s="18">
        <f t="shared" si="31"/>
        <v>72874.545205479444</v>
      </c>
      <c r="I152" s="17">
        <v>20205.367506957504</v>
      </c>
      <c r="J152" s="17">
        <v>20205.367506957504</v>
      </c>
      <c r="K152" s="17">
        <v>19985.745255000005</v>
      </c>
      <c r="L152" s="17">
        <v>19985.743119999999</v>
      </c>
      <c r="M152" s="18">
        <f t="shared" si="32"/>
        <v>80382.223388915008</v>
      </c>
      <c r="N152" s="17">
        <v>20260.723595000003</v>
      </c>
      <c r="O152" s="17">
        <v>20260.723595000003</v>
      </c>
      <c r="P152" s="17">
        <v>19820.272990000005</v>
      </c>
      <c r="Q152" s="17">
        <v>20040.500147500003</v>
      </c>
      <c r="R152" s="18">
        <f t="shared" si="33"/>
        <v>80382.220327500021</v>
      </c>
      <c r="S152" s="17">
        <v>20260.723594999999</v>
      </c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</row>
    <row r="153" spans="2:36" x14ac:dyDescent="0.4">
      <c r="B153" s="16"/>
      <c r="C153" s="16" t="s">
        <v>16</v>
      </c>
      <c r="D153" s="17">
        <v>0</v>
      </c>
      <c r="E153" s="17">
        <v>0</v>
      </c>
      <c r="F153" s="17">
        <v>0</v>
      </c>
      <c r="G153" s="17">
        <v>0</v>
      </c>
      <c r="H153" s="18">
        <f t="shared" si="31"/>
        <v>0</v>
      </c>
      <c r="I153" s="17">
        <v>3313.5394710594719</v>
      </c>
      <c r="J153" s="17">
        <v>4231.5301405910132</v>
      </c>
      <c r="K153" s="17">
        <v>4185.5352477585011</v>
      </c>
      <c r="L153" s="17">
        <v>4185.5352477585029</v>
      </c>
      <c r="M153" s="18">
        <f t="shared" si="32"/>
        <v>15916.140107167488</v>
      </c>
      <c r="N153" s="17">
        <v>4247.5770846133328</v>
      </c>
      <c r="O153" s="17">
        <v>4247.7534246575333</v>
      </c>
      <c r="P153" s="17">
        <v>4155.41095890411</v>
      </c>
      <c r="Q153" s="17">
        <v>4201.5821917808207</v>
      </c>
      <c r="R153" s="18">
        <f t="shared" si="33"/>
        <v>16852.323659955797</v>
      </c>
      <c r="S153" s="17">
        <v>4247.7534246575351</v>
      </c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</row>
    <row r="154" spans="2:36" x14ac:dyDescent="0.4">
      <c r="B154" s="16"/>
      <c r="C154" s="16" t="s">
        <v>15</v>
      </c>
      <c r="D154" s="17">
        <v>0</v>
      </c>
      <c r="E154" s="17">
        <v>3412.5</v>
      </c>
      <c r="F154" s="17">
        <v>1706.25</v>
      </c>
      <c r="G154" s="17">
        <v>1706.25</v>
      </c>
      <c r="H154" s="18">
        <f t="shared" si="31"/>
        <v>6825</v>
      </c>
      <c r="I154" s="17">
        <v>3412.5</v>
      </c>
      <c r="J154" s="17">
        <v>3412.5</v>
      </c>
      <c r="K154" s="17">
        <v>3412.5</v>
      </c>
      <c r="L154" s="17">
        <v>3412.5</v>
      </c>
      <c r="M154" s="18">
        <f t="shared" si="32"/>
        <v>13650</v>
      </c>
      <c r="N154" s="17">
        <v>3412.5</v>
      </c>
      <c r="O154" s="17">
        <v>3263.75</v>
      </c>
      <c r="P154" s="17">
        <v>3115</v>
      </c>
      <c r="Q154" s="17">
        <v>1557.5</v>
      </c>
      <c r="R154" s="18">
        <f t="shared" si="33"/>
        <v>11348.75</v>
      </c>
      <c r="S154" s="17">
        <v>3045</v>
      </c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</row>
    <row r="155" spans="2:36" x14ac:dyDescent="0.4">
      <c r="B155" s="13"/>
      <c r="C155" s="22" t="s">
        <v>3</v>
      </c>
      <c r="D155" s="23">
        <f t="shared" ref="D155:S155" si="37">SUM(D152:D154)</f>
        <v>18418.84109589041</v>
      </c>
      <c r="E155" s="23">
        <f t="shared" si="37"/>
        <v>21831.34109589041</v>
      </c>
      <c r="F155" s="23">
        <f t="shared" si="37"/>
        <v>19724.681506849312</v>
      </c>
      <c r="G155" s="23">
        <f t="shared" si="37"/>
        <v>19724.681506849312</v>
      </c>
      <c r="H155" s="24">
        <f t="shared" si="37"/>
        <v>79699.545205479444</v>
      </c>
      <c r="I155" s="23">
        <f t="shared" si="37"/>
        <v>26931.406978016974</v>
      </c>
      <c r="J155" s="23">
        <f t="shared" si="37"/>
        <v>27849.397647548518</v>
      </c>
      <c r="K155" s="23">
        <f t="shared" si="37"/>
        <v>27583.780502758505</v>
      </c>
      <c r="L155" s="23">
        <f t="shared" si="37"/>
        <v>27583.778367758503</v>
      </c>
      <c r="M155" s="24">
        <f t="shared" si="37"/>
        <v>109948.3634960825</v>
      </c>
      <c r="N155" s="23">
        <f t="shared" si="37"/>
        <v>27920.800679613334</v>
      </c>
      <c r="O155" s="23">
        <f t="shared" si="37"/>
        <v>27772.227019657537</v>
      </c>
      <c r="P155" s="23">
        <f t="shared" si="37"/>
        <v>27090.683948904116</v>
      </c>
      <c r="Q155" s="23">
        <f t="shared" si="37"/>
        <v>25799.582339280823</v>
      </c>
      <c r="R155" s="24">
        <f t="shared" si="37"/>
        <v>108583.29398745582</v>
      </c>
      <c r="S155" s="23">
        <f t="shared" si="37"/>
        <v>27553.477019657534</v>
      </c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</row>
    <row r="156" spans="2:36" x14ac:dyDescent="0.4">
      <c r="B156" s="13">
        <v>30</v>
      </c>
      <c r="C156" s="13" t="s">
        <v>0</v>
      </c>
      <c r="D156" s="19"/>
      <c r="E156" s="19"/>
      <c r="F156" s="19"/>
      <c r="G156" s="19"/>
      <c r="H156" s="20"/>
      <c r="I156" s="19"/>
      <c r="J156" s="19"/>
      <c r="K156" s="19"/>
      <c r="L156" s="19"/>
      <c r="M156" s="20"/>
      <c r="N156" s="19"/>
      <c r="O156" s="19"/>
      <c r="P156" s="19"/>
      <c r="Q156" s="19"/>
      <c r="R156" s="20"/>
      <c r="S156" s="19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</row>
    <row r="157" spans="2:36" x14ac:dyDescent="0.4">
      <c r="B157" s="16"/>
      <c r="C157" s="16" t="s">
        <v>1</v>
      </c>
      <c r="D157" s="17">
        <v>0</v>
      </c>
      <c r="E157" s="17">
        <v>0</v>
      </c>
      <c r="F157" s="17">
        <v>0</v>
      </c>
      <c r="G157" s="17">
        <v>0</v>
      </c>
      <c r="H157" s="18">
        <f t="shared" si="31"/>
        <v>0</v>
      </c>
      <c r="I157" s="17">
        <v>0</v>
      </c>
      <c r="J157" s="17">
        <v>0</v>
      </c>
      <c r="K157" s="17">
        <v>0</v>
      </c>
      <c r="L157" s="17">
        <v>0</v>
      </c>
      <c r="M157" s="18">
        <f t="shared" si="32"/>
        <v>0</v>
      </c>
      <c r="N157" s="17">
        <v>0</v>
      </c>
      <c r="O157" s="17">
        <v>0</v>
      </c>
      <c r="P157" s="17">
        <v>5212.0505864446286</v>
      </c>
      <c r="Q157" s="17">
        <v>8507.1550835859452</v>
      </c>
      <c r="R157" s="18">
        <f t="shared" si="33"/>
        <v>13719.205670030573</v>
      </c>
      <c r="S157" s="17">
        <v>9395.3637905854757</v>
      </c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</row>
    <row r="158" spans="2:36" x14ac:dyDescent="0.4">
      <c r="B158" s="16"/>
      <c r="C158" s="16" t="s">
        <v>16</v>
      </c>
      <c r="D158" s="17">
        <v>0</v>
      </c>
      <c r="E158" s="17">
        <v>0</v>
      </c>
      <c r="F158" s="17">
        <v>0</v>
      </c>
      <c r="G158" s="17">
        <v>0</v>
      </c>
      <c r="H158" s="18">
        <f t="shared" si="31"/>
        <v>0</v>
      </c>
      <c r="I158" s="17">
        <v>0</v>
      </c>
      <c r="J158" s="17">
        <v>0</v>
      </c>
      <c r="K158" s="17">
        <v>0</v>
      </c>
      <c r="L158" s="17">
        <v>0</v>
      </c>
      <c r="M158" s="18">
        <f t="shared" si="32"/>
        <v>0</v>
      </c>
      <c r="N158" s="17">
        <v>0</v>
      </c>
      <c r="O158" s="17">
        <v>0</v>
      </c>
      <c r="P158" s="17">
        <v>1441.175318963202</v>
      </c>
      <c r="Q158" s="17">
        <v>2163.7190135643295</v>
      </c>
      <c r="R158" s="18">
        <f t="shared" si="33"/>
        <v>3604.8943325275313</v>
      </c>
      <c r="S158" s="17">
        <v>2449.1073867993186</v>
      </c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</row>
    <row r="159" spans="2:36" x14ac:dyDescent="0.4">
      <c r="B159" s="16"/>
      <c r="C159" s="16" t="s">
        <v>15</v>
      </c>
      <c r="D159" s="17">
        <v>0</v>
      </c>
      <c r="E159" s="17">
        <v>0</v>
      </c>
      <c r="F159" s="17">
        <v>0</v>
      </c>
      <c r="G159" s="17">
        <v>0</v>
      </c>
      <c r="H159" s="18">
        <f t="shared" si="31"/>
        <v>0</v>
      </c>
      <c r="I159" s="17">
        <v>0</v>
      </c>
      <c r="J159" s="17">
        <v>0</v>
      </c>
      <c r="K159" s="17">
        <v>0</v>
      </c>
      <c r="L159" s="17">
        <v>0</v>
      </c>
      <c r="M159" s="18">
        <f t="shared" si="32"/>
        <v>0</v>
      </c>
      <c r="N159" s="17">
        <v>0</v>
      </c>
      <c r="O159" s="17">
        <v>0</v>
      </c>
      <c r="P159" s="17">
        <v>0</v>
      </c>
      <c r="Q159" s="17">
        <v>6177.5</v>
      </c>
      <c r="R159" s="18">
        <f t="shared" si="33"/>
        <v>6177.5</v>
      </c>
      <c r="S159" s="17">
        <v>14350</v>
      </c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</row>
    <row r="160" spans="2:36" x14ac:dyDescent="0.4">
      <c r="B160" s="13"/>
      <c r="C160" s="22" t="s">
        <v>3</v>
      </c>
      <c r="D160" s="23">
        <f t="shared" ref="D160:S160" si="38">SUM(D157:D159)</f>
        <v>0</v>
      </c>
      <c r="E160" s="23">
        <f t="shared" si="38"/>
        <v>0</v>
      </c>
      <c r="F160" s="23">
        <f t="shared" si="38"/>
        <v>0</v>
      </c>
      <c r="G160" s="23">
        <f t="shared" si="38"/>
        <v>0</v>
      </c>
      <c r="H160" s="24">
        <f t="shared" si="38"/>
        <v>0</v>
      </c>
      <c r="I160" s="23">
        <f t="shared" si="38"/>
        <v>0</v>
      </c>
      <c r="J160" s="23">
        <f t="shared" si="38"/>
        <v>0</v>
      </c>
      <c r="K160" s="23">
        <f t="shared" si="38"/>
        <v>0</v>
      </c>
      <c r="L160" s="23">
        <f t="shared" si="38"/>
        <v>0</v>
      </c>
      <c r="M160" s="24">
        <f t="shared" si="38"/>
        <v>0</v>
      </c>
      <c r="N160" s="23">
        <f t="shared" si="38"/>
        <v>0</v>
      </c>
      <c r="O160" s="23">
        <f t="shared" si="38"/>
        <v>0</v>
      </c>
      <c r="P160" s="23">
        <f t="shared" si="38"/>
        <v>6653.2259054078304</v>
      </c>
      <c r="Q160" s="23">
        <f t="shared" si="38"/>
        <v>16848.374097150274</v>
      </c>
      <c r="R160" s="24">
        <f t="shared" si="38"/>
        <v>23501.600002558105</v>
      </c>
      <c r="S160" s="23">
        <f t="shared" si="38"/>
        <v>26194.471177384796</v>
      </c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</row>
    <row r="161" spans="2:36" x14ac:dyDescent="0.4">
      <c r="B161" s="13">
        <v>31</v>
      </c>
      <c r="C161" s="13" t="s">
        <v>0</v>
      </c>
      <c r="D161" s="19"/>
      <c r="E161" s="19"/>
      <c r="F161" s="19"/>
      <c r="G161" s="19"/>
      <c r="H161" s="20"/>
      <c r="I161" s="19"/>
      <c r="J161" s="19"/>
      <c r="K161" s="19"/>
      <c r="L161" s="19"/>
      <c r="M161" s="20"/>
      <c r="N161" s="19"/>
      <c r="O161" s="19"/>
      <c r="P161" s="19"/>
      <c r="Q161" s="19"/>
      <c r="R161" s="20"/>
      <c r="S161" s="19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</row>
    <row r="162" spans="2:36" x14ac:dyDescent="0.4">
      <c r="B162" s="16"/>
      <c r="C162" s="16" t="s">
        <v>1</v>
      </c>
      <c r="D162" s="17">
        <v>0</v>
      </c>
      <c r="E162" s="17">
        <v>0</v>
      </c>
      <c r="F162" s="17">
        <v>0</v>
      </c>
      <c r="G162" s="17">
        <v>0</v>
      </c>
      <c r="H162" s="18">
        <f t="shared" si="31"/>
        <v>0</v>
      </c>
      <c r="I162" s="17">
        <v>0</v>
      </c>
      <c r="J162" s="17">
        <v>0</v>
      </c>
      <c r="K162" s="17">
        <v>0</v>
      </c>
      <c r="L162" s="17">
        <v>0</v>
      </c>
      <c r="M162" s="18">
        <f t="shared" si="32"/>
        <v>0</v>
      </c>
      <c r="N162" s="17">
        <v>9638.8858695652179</v>
      </c>
      <c r="O162" s="17">
        <v>23336.25</v>
      </c>
      <c r="P162" s="17">
        <v>23575.485677396115</v>
      </c>
      <c r="Q162" s="17">
        <v>24969.69613259668</v>
      </c>
      <c r="R162" s="18">
        <f t="shared" si="33"/>
        <v>81520.317679558008</v>
      </c>
      <c r="S162" s="17">
        <v>20315.730265647464</v>
      </c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</row>
    <row r="163" spans="2:36" x14ac:dyDescent="0.4">
      <c r="B163" s="16"/>
      <c r="C163" s="16" t="s">
        <v>2</v>
      </c>
      <c r="D163" s="17">
        <v>9184.4986301369863</v>
      </c>
      <c r="E163" s="17">
        <v>9184.4986301369863</v>
      </c>
      <c r="F163" s="17">
        <v>8984.8356164383567</v>
      </c>
      <c r="G163" s="17">
        <v>9793.1743767123298</v>
      </c>
      <c r="H163" s="18">
        <f t="shared" si="31"/>
        <v>37147.007253424657</v>
      </c>
      <c r="I163" s="17">
        <v>9425.9172228549996</v>
      </c>
      <c r="J163" s="17">
        <v>10075.3447447625</v>
      </c>
      <c r="K163" s="17">
        <v>9965.8302274999987</v>
      </c>
      <c r="L163" s="17">
        <v>9965.830034999999</v>
      </c>
      <c r="M163" s="18">
        <f t="shared" si="32"/>
        <v>39432.922230117503</v>
      </c>
      <c r="N163" s="17">
        <v>8323.1110024999998</v>
      </c>
      <c r="O163" s="17">
        <v>0</v>
      </c>
      <c r="P163" s="17">
        <v>0</v>
      </c>
      <c r="Q163" s="17">
        <v>0</v>
      </c>
      <c r="R163" s="18">
        <f t="shared" si="33"/>
        <v>8323.1110024999998</v>
      </c>
      <c r="S163" s="17">
        <v>0</v>
      </c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</row>
    <row r="164" spans="2:36" x14ac:dyDescent="0.4">
      <c r="B164" s="16"/>
      <c r="C164" s="16" t="s">
        <v>16</v>
      </c>
      <c r="D164" s="17">
        <v>0</v>
      </c>
      <c r="E164" s="17">
        <v>0</v>
      </c>
      <c r="F164" s="17">
        <v>0</v>
      </c>
      <c r="G164" s="17">
        <v>0</v>
      </c>
      <c r="H164" s="18">
        <f t="shared" si="31"/>
        <v>0</v>
      </c>
      <c r="I164" s="17">
        <v>0</v>
      </c>
      <c r="J164" s="17">
        <v>0</v>
      </c>
      <c r="K164" s="17">
        <v>0</v>
      </c>
      <c r="L164" s="17">
        <v>0</v>
      </c>
      <c r="M164" s="18">
        <f t="shared" si="32"/>
        <v>0</v>
      </c>
      <c r="N164" s="17">
        <v>0</v>
      </c>
      <c r="O164" s="17">
        <v>2094.2465753424658</v>
      </c>
      <c r="P164" s="17">
        <v>1449.8630136986299</v>
      </c>
      <c r="Q164" s="17">
        <v>1465.9726027397262</v>
      </c>
      <c r="R164" s="18">
        <f t="shared" si="33"/>
        <v>5010.0821917808216</v>
      </c>
      <c r="S164" s="17">
        <v>1482.0821917808219</v>
      </c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</row>
    <row r="165" spans="2:36" x14ac:dyDescent="0.4">
      <c r="B165" s="16"/>
      <c r="C165" s="16" t="s">
        <v>15</v>
      </c>
      <c r="D165" s="17">
        <v>1706.25</v>
      </c>
      <c r="E165" s="17">
        <v>3412.5</v>
      </c>
      <c r="F165" s="17">
        <v>1706.25</v>
      </c>
      <c r="G165" s="17">
        <v>3412.5</v>
      </c>
      <c r="H165" s="18">
        <f t="shared" si="31"/>
        <v>10237.5</v>
      </c>
      <c r="I165" s="17">
        <v>1706.25</v>
      </c>
      <c r="J165" s="17">
        <v>3412.5</v>
      </c>
      <c r="K165" s="17">
        <v>1706.25</v>
      </c>
      <c r="L165" s="17">
        <v>0</v>
      </c>
      <c r="M165" s="18">
        <f t="shared" si="32"/>
        <v>6825</v>
      </c>
      <c r="N165" s="17">
        <v>1557.5</v>
      </c>
      <c r="O165" s="17">
        <v>0</v>
      </c>
      <c r="P165" s="17">
        <v>1557.5</v>
      </c>
      <c r="Q165" s="17">
        <v>2562</v>
      </c>
      <c r="R165" s="18">
        <f t="shared" si="33"/>
        <v>5677</v>
      </c>
      <c r="S165" s="17">
        <v>2117.5</v>
      </c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</row>
    <row r="166" spans="2:36" x14ac:dyDescent="0.4">
      <c r="B166" s="16"/>
      <c r="C166" s="16" t="s">
        <v>14</v>
      </c>
      <c r="D166" s="17">
        <v>0</v>
      </c>
      <c r="E166" s="17">
        <v>0</v>
      </c>
      <c r="F166" s="17">
        <v>0</v>
      </c>
      <c r="G166" s="17">
        <v>13473.25</v>
      </c>
      <c r="H166" s="18">
        <f t="shared" si="31"/>
        <v>13473.25</v>
      </c>
      <c r="I166" s="17">
        <v>0</v>
      </c>
      <c r="J166" s="17">
        <v>0</v>
      </c>
      <c r="K166" s="17">
        <v>0</v>
      </c>
      <c r="L166" s="17">
        <v>0</v>
      </c>
      <c r="M166" s="18">
        <f t="shared" si="32"/>
        <v>0</v>
      </c>
      <c r="N166" s="17">
        <v>0</v>
      </c>
      <c r="O166" s="17">
        <v>0</v>
      </c>
      <c r="P166" s="17">
        <v>0</v>
      </c>
      <c r="Q166" s="17">
        <v>0</v>
      </c>
      <c r="R166" s="18">
        <f t="shared" si="33"/>
        <v>0</v>
      </c>
      <c r="S166" s="17">
        <v>0</v>
      </c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</row>
    <row r="167" spans="2:36" x14ac:dyDescent="0.4">
      <c r="B167" s="13"/>
      <c r="C167" s="22" t="s">
        <v>3</v>
      </c>
      <c r="D167" s="23">
        <f t="shared" ref="D167:S167" si="39">SUM(D162:D166)</f>
        <v>10890.748630136986</v>
      </c>
      <c r="E167" s="23">
        <f t="shared" si="39"/>
        <v>12596.998630136986</v>
      </c>
      <c r="F167" s="23">
        <f t="shared" si="39"/>
        <v>10691.085616438357</v>
      </c>
      <c r="G167" s="23">
        <f t="shared" si="39"/>
        <v>26678.92437671233</v>
      </c>
      <c r="H167" s="24">
        <f t="shared" si="39"/>
        <v>60857.757253424657</v>
      </c>
      <c r="I167" s="23">
        <f t="shared" si="39"/>
        <v>11132.167222855</v>
      </c>
      <c r="J167" s="23">
        <f t="shared" si="39"/>
        <v>13487.8447447625</v>
      </c>
      <c r="K167" s="23">
        <f t="shared" si="39"/>
        <v>11672.080227499999</v>
      </c>
      <c r="L167" s="23">
        <f t="shared" si="39"/>
        <v>9965.830034999999</v>
      </c>
      <c r="M167" s="24">
        <f t="shared" si="39"/>
        <v>46257.922230117503</v>
      </c>
      <c r="N167" s="23">
        <f t="shared" si="39"/>
        <v>19519.496872065218</v>
      </c>
      <c r="O167" s="23">
        <f t="shared" si="39"/>
        <v>25430.496575342466</v>
      </c>
      <c r="P167" s="23">
        <f t="shared" si="39"/>
        <v>26582.848691094743</v>
      </c>
      <c r="Q167" s="23">
        <f t="shared" si="39"/>
        <v>28997.668735336407</v>
      </c>
      <c r="R167" s="24">
        <f t="shared" si="39"/>
        <v>100530.51087383882</v>
      </c>
      <c r="S167" s="23">
        <f t="shared" si="39"/>
        <v>23915.312457428285</v>
      </c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</row>
    <row r="168" spans="2:36" x14ac:dyDescent="0.4">
      <c r="B168" s="13">
        <v>32</v>
      </c>
      <c r="C168" s="13" t="s">
        <v>0</v>
      </c>
      <c r="D168" s="19"/>
      <c r="E168" s="19"/>
      <c r="F168" s="19"/>
      <c r="G168" s="19"/>
      <c r="H168" s="20"/>
      <c r="I168" s="19"/>
      <c r="J168" s="19"/>
      <c r="K168" s="19"/>
      <c r="L168" s="19"/>
      <c r="M168" s="20"/>
      <c r="N168" s="19"/>
      <c r="O168" s="19"/>
      <c r="P168" s="19"/>
      <c r="Q168" s="19"/>
      <c r="R168" s="20"/>
      <c r="S168" s="19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</row>
    <row r="169" spans="2:36" x14ac:dyDescent="0.4">
      <c r="B169" s="16"/>
      <c r="C169" s="16" t="s">
        <v>2</v>
      </c>
      <c r="D169" s="17">
        <v>16931.465753424647</v>
      </c>
      <c r="E169" s="17">
        <v>16931.465753424651</v>
      </c>
      <c r="F169" s="17">
        <v>16563.390410958898</v>
      </c>
      <c r="G169" s="17">
        <v>15487.889063552662</v>
      </c>
      <c r="H169" s="18">
        <f t="shared" si="31"/>
        <v>65914.210981360869</v>
      </c>
      <c r="I169" s="17">
        <v>13933.098984376253</v>
      </c>
      <c r="J169" s="17">
        <v>13933.098984376249</v>
      </c>
      <c r="K169" s="17">
        <v>13781.651199749998</v>
      </c>
      <c r="L169" s="17">
        <v>14463.487485999998</v>
      </c>
      <c r="M169" s="18">
        <f t="shared" si="32"/>
        <v>56111.336654502498</v>
      </c>
      <c r="N169" s="17">
        <v>15368.265933999997</v>
      </c>
      <c r="O169" s="17">
        <v>15368.265934000001</v>
      </c>
      <c r="P169" s="17">
        <v>15034.172506499999</v>
      </c>
      <c r="Q169" s="17">
        <v>14693.595664999999</v>
      </c>
      <c r="R169" s="18">
        <f t="shared" si="33"/>
        <v>60464.300039499998</v>
      </c>
      <c r="S169" s="17">
        <v>13994.692683999998</v>
      </c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</row>
    <row r="170" spans="2:36" x14ac:dyDescent="0.4">
      <c r="B170" s="16"/>
      <c r="C170" s="16" t="s">
        <v>16</v>
      </c>
      <c r="D170" s="17">
        <v>0</v>
      </c>
      <c r="E170" s="17">
        <v>0</v>
      </c>
      <c r="F170" s="17">
        <v>0</v>
      </c>
      <c r="G170" s="17">
        <v>542.95485636114938</v>
      </c>
      <c r="H170" s="18">
        <f t="shared" si="31"/>
        <v>542.95485636114938</v>
      </c>
      <c r="I170" s="17">
        <v>666.02462380300972</v>
      </c>
      <c r="J170" s="17">
        <v>666.02462380300926</v>
      </c>
      <c r="K170" s="17">
        <v>658.78522571819417</v>
      </c>
      <c r="L170" s="17">
        <v>658.78522571819417</v>
      </c>
      <c r="M170" s="18">
        <f t="shared" si="32"/>
        <v>2649.6196990424073</v>
      </c>
      <c r="N170" s="17">
        <v>666.02462380300972</v>
      </c>
      <c r="O170" s="17">
        <v>666.02462380300949</v>
      </c>
      <c r="P170" s="17">
        <v>651.54582763337953</v>
      </c>
      <c r="Q170" s="17">
        <v>1203.2276296310174</v>
      </c>
      <c r="R170" s="18">
        <f t="shared" si="33"/>
        <v>3186.8227048704161</v>
      </c>
      <c r="S170" s="17">
        <v>1333.8739726027397</v>
      </c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</row>
    <row r="171" spans="2:36" x14ac:dyDescent="0.4">
      <c r="B171" s="16"/>
      <c r="C171" s="16" t="s">
        <v>15</v>
      </c>
      <c r="D171" s="17">
        <v>12670</v>
      </c>
      <c r="E171" s="17">
        <v>6835.5</v>
      </c>
      <c r="F171" s="17">
        <v>7647.5</v>
      </c>
      <c r="G171" s="17">
        <v>5950</v>
      </c>
      <c r="H171" s="18">
        <f t="shared" si="31"/>
        <v>33103</v>
      </c>
      <c r="I171" s="17">
        <v>8925</v>
      </c>
      <c r="J171" s="17">
        <v>23450</v>
      </c>
      <c r="K171" s="17">
        <v>0</v>
      </c>
      <c r="L171" s="17">
        <v>0</v>
      </c>
      <c r="M171" s="18">
        <f t="shared" si="32"/>
        <v>32375</v>
      </c>
      <c r="N171" s="17">
        <v>0</v>
      </c>
      <c r="O171" s="17">
        <v>23450</v>
      </c>
      <c r="P171" s="17">
        <v>0</v>
      </c>
      <c r="Q171" s="17">
        <v>0</v>
      </c>
      <c r="R171" s="18">
        <f t="shared" si="33"/>
        <v>23450</v>
      </c>
      <c r="S171" s="17">
        <v>7000</v>
      </c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</row>
    <row r="172" spans="2:36" x14ac:dyDescent="0.4">
      <c r="B172" s="13"/>
      <c r="C172" s="22" t="s">
        <v>3</v>
      </c>
      <c r="D172" s="23">
        <f t="shared" ref="D172:S172" si="40">SUM(D169:D171)</f>
        <v>29601.465753424647</v>
      </c>
      <c r="E172" s="23">
        <f t="shared" si="40"/>
        <v>23766.965753424651</v>
      </c>
      <c r="F172" s="23">
        <f t="shared" si="40"/>
        <v>24210.890410958898</v>
      </c>
      <c r="G172" s="23">
        <f t="shared" si="40"/>
        <v>21980.843919913812</v>
      </c>
      <c r="H172" s="24">
        <f t="shared" si="40"/>
        <v>99560.165837722016</v>
      </c>
      <c r="I172" s="23">
        <f t="shared" si="40"/>
        <v>23524.123608179263</v>
      </c>
      <c r="J172" s="23">
        <f t="shared" si="40"/>
        <v>38049.123608179259</v>
      </c>
      <c r="K172" s="23">
        <f t="shared" si="40"/>
        <v>14440.436425468193</v>
      </c>
      <c r="L172" s="23">
        <f t="shared" si="40"/>
        <v>15122.272711718193</v>
      </c>
      <c r="M172" s="24">
        <f t="shared" si="40"/>
        <v>91135.956353544898</v>
      </c>
      <c r="N172" s="23">
        <f t="shared" si="40"/>
        <v>16034.290557803008</v>
      </c>
      <c r="O172" s="23">
        <f t="shared" si="40"/>
        <v>39484.290557803011</v>
      </c>
      <c r="P172" s="23">
        <f t="shared" si="40"/>
        <v>15685.718334133378</v>
      </c>
      <c r="Q172" s="23">
        <f t="shared" si="40"/>
        <v>15896.823294631016</v>
      </c>
      <c r="R172" s="24">
        <f t="shared" si="40"/>
        <v>87101.122744370412</v>
      </c>
      <c r="S172" s="23">
        <f t="shared" si="40"/>
        <v>22328.566656602736</v>
      </c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</row>
    <row r="173" spans="2:36" x14ac:dyDescent="0.4">
      <c r="B173" s="13">
        <v>33</v>
      </c>
      <c r="C173" s="13" t="s">
        <v>0</v>
      </c>
      <c r="D173" s="19"/>
      <c r="E173" s="19"/>
      <c r="F173" s="19"/>
      <c r="G173" s="19"/>
      <c r="H173" s="20"/>
      <c r="I173" s="19"/>
      <c r="J173" s="19"/>
      <c r="K173" s="19"/>
      <c r="L173" s="19"/>
      <c r="M173" s="20"/>
      <c r="N173" s="19"/>
      <c r="O173" s="19"/>
      <c r="P173" s="19"/>
      <c r="Q173" s="19"/>
      <c r="R173" s="20"/>
      <c r="S173" s="19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</row>
    <row r="174" spans="2:36" x14ac:dyDescent="0.4">
      <c r="B174" s="16"/>
      <c r="C174" s="16" t="s">
        <v>1</v>
      </c>
      <c r="D174" s="17">
        <v>0</v>
      </c>
      <c r="E174" s="17">
        <v>0</v>
      </c>
      <c r="F174" s="17">
        <v>1710.2630136986227</v>
      </c>
      <c r="G174" s="17">
        <v>19454.241780821925</v>
      </c>
      <c r="H174" s="18">
        <f t="shared" si="31"/>
        <v>21164.504794520548</v>
      </c>
      <c r="I174" s="17">
        <v>19668.024657534243</v>
      </c>
      <c r="J174" s="17">
        <v>19502.719178082196</v>
      </c>
      <c r="K174" s="17">
        <v>19037.963704244328</v>
      </c>
      <c r="L174" s="17">
        <v>15270.546195205479</v>
      </c>
      <c r="M174" s="18">
        <f t="shared" si="32"/>
        <v>73479.253735066246</v>
      </c>
      <c r="N174" s="17">
        <v>15438.350914383562</v>
      </c>
      <c r="O174" s="17">
        <v>15438.350914383562</v>
      </c>
      <c r="P174" s="17">
        <v>15445.446804794519</v>
      </c>
      <c r="Q174" s="17">
        <v>19168.895434931503</v>
      </c>
      <c r="R174" s="18">
        <f t="shared" si="33"/>
        <v>65491.044068493145</v>
      </c>
      <c r="S174" s="17">
        <v>19379.542695205477</v>
      </c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</row>
    <row r="175" spans="2:36" x14ac:dyDescent="0.4">
      <c r="B175" s="16"/>
      <c r="C175" s="16" t="s">
        <v>2</v>
      </c>
      <c r="D175" s="17">
        <v>8347.9375</v>
      </c>
      <c r="E175" s="17">
        <v>8347.9374999999982</v>
      </c>
      <c r="F175" s="17">
        <v>5489.6100000000006</v>
      </c>
      <c r="G175" s="17">
        <v>10979.202499999998</v>
      </c>
      <c r="H175" s="18">
        <f t="shared" si="31"/>
        <v>33164.6875</v>
      </c>
      <c r="I175" s="17">
        <v>74.672499999999999</v>
      </c>
      <c r="J175" s="17">
        <v>0</v>
      </c>
      <c r="K175" s="17">
        <v>0</v>
      </c>
      <c r="L175" s="17">
        <v>0</v>
      </c>
      <c r="M175" s="18">
        <f t="shared" si="32"/>
        <v>74.672499999999999</v>
      </c>
      <c r="N175" s="17">
        <v>0</v>
      </c>
      <c r="O175" s="17">
        <v>0</v>
      </c>
      <c r="P175" s="17">
        <v>0</v>
      </c>
      <c r="Q175" s="17">
        <v>0</v>
      </c>
      <c r="R175" s="18">
        <f t="shared" si="33"/>
        <v>0</v>
      </c>
      <c r="S175" s="17">
        <v>0</v>
      </c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</row>
    <row r="176" spans="2:36" x14ac:dyDescent="0.4">
      <c r="B176" s="16"/>
      <c r="C176" s="16" t="s">
        <v>16</v>
      </c>
      <c r="D176" s="17">
        <v>0</v>
      </c>
      <c r="E176" s="17">
        <v>0</v>
      </c>
      <c r="F176" s="17">
        <v>184.10958904109702</v>
      </c>
      <c r="G176" s="17">
        <v>2323.7547720637767</v>
      </c>
      <c r="H176" s="18">
        <f t="shared" si="31"/>
        <v>2507.8643611048738</v>
      </c>
      <c r="I176" s="17">
        <v>2328.4078149562088</v>
      </c>
      <c r="J176" s="17">
        <v>1658.8097911520313</v>
      </c>
      <c r="K176" s="17">
        <v>2107.45608073209</v>
      </c>
      <c r="L176" s="17">
        <v>3346.1711844896154</v>
      </c>
      <c r="M176" s="18">
        <f t="shared" si="32"/>
        <v>9440.844871329944</v>
      </c>
      <c r="N176" s="17">
        <v>2752.4143820150234</v>
      </c>
      <c r="O176" s="17">
        <v>2752.4318820150238</v>
      </c>
      <c r="P176" s="17">
        <v>2692.5794692885543</v>
      </c>
      <c r="Q176" s="17">
        <v>2722.5380479452056</v>
      </c>
      <c r="R176" s="18">
        <f t="shared" si="33"/>
        <v>10919.963781263807</v>
      </c>
      <c r="S176" s="17">
        <v>2752.438356164384</v>
      </c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</row>
    <row r="177" spans="2:36" x14ac:dyDescent="0.4">
      <c r="B177" s="16"/>
      <c r="C177" s="16" t="s">
        <v>15</v>
      </c>
      <c r="D177" s="17">
        <v>4873.75</v>
      </c>
      <c r="E177" s="17">
        <v>5950</v>
      </c>
      <c r="F177" s="17">
        <v>9975</v>
      </c>
      <c r="G177" s="17">
        <v>7000</v>
      </c>
      <c r="H177" s="18">
        <f t="shared" si="31"/>
        <v>27798.75</v>
      </c>
      <c r="I177" s="17">
        <v>14000</v>
      </c>
      <c r="J177" s="17">
        <v>21000</v>
      </c>
      <c r="K177" s="17">
        <v>30450</v>
      </c>
      <c r="L177" s="17">
        <v>7000</v>
      </c>
      <c r="M177" s="18">
        <f t="shared" si="32"/>
        <v>72450</v>
      </c>
      <c r="N177" s="17">
        <v>0</v>
      </c>
      <c r="O177" s="17">
        <v>0</v>
      </c>
      <c r="P177" s="17">
        <v>0</v>
      </c>
      <c r="Q177" s="17">
        <v>7000</v>
      </c>
      <c r="R177" s="18">
        <f t="shared" si="33"/>
        <v>7000</v>
      </c>
      <c r="S177" s="17">
        <v>0</v>
      </c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</row>
    <row r="178" spans="2:36" x14ac:dyDescent="0.4">
      <c r="B178" s="16"/>
      <c r="C178" s="16" t="s">
        <v>14</v>
      </c>
      <c r="D178" s="17">
        <v>0</v>
      </c>
      <c r="E178" s="17">
        <v>0</v>
      </c>
      <c r="F178" s="17">
        <v>0</v>
      </c>
      <c r="G178" s="17">
        <v>0</v>
      </c>
      <c r="H178" s="18">
        <f t="shared" si="31"/>
        <v>0</v>
      </c>
      <c r="I178" s="17">
        <v>5976.25</v>
      </c>
      <c r="J178" s="17">
        <v>0</v>
      </c>
      <c r="K178" s="17">
        <v>0</v>
      </c>
      <c r="L178" s="17">
        <v>0</v>
      </c>
      <c r="M178" s="18">
        <f t="shared" si="32"/>
        <v>5976.25</v>
      </c>
      <c r="N178" s="17">
        <v>0</v>
      </c>
      <c r="O178" s="17">
        <v>0</v>
      </c>
      <c r="P178" s="17">
        <v>0</v>
      </c>
      <c r="Q178" s="17">
        <v>0</v>
      </c>
      <c r="R178" s="18">
        <f t="shared" si="33"/>
        <v>0</v>
      </c>
      <c r="S178" s="17">
        <v>0</v>
      </c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</row>
    <row r="179" spans="2:36" x14ac:dyDescent="0.4">
      <c r="B179" s="13"/>
      <c r="C179" s="22" t="s">
        <v>3</v>
      </c>
      <c r="D179" s="23">
        <f t="shared" ref="D179:S179" si="41">SUM(D174:D178)</f>
        <v>13221.6875</v>
      </c>
      <c r="E179" s="23">
        <f t="shared" si="41"/>
        <v>14297.937499999998</v>
      </c>
      <c r="F179" s="23">
        <f t="shared" si="41"/>
        <v>17358.982602739721</v>
      </c>
      <c r="G179" s="23">
        <f t="shared" si="41"/>
        <v>39757.199052885699</v>
      </c>
      <c r="H179" s="24">
        <f t="shared" si="41"/>
        <v>84635.80665562542</v>
      </c>
      <c r="I179" s="23">
        <f t="shared" si="41"/>
        <v>42047.354972490451</v>
      </c>
      <c r="J179" s="23">
        <f t="shared" si="41"/>
        <v>42161.528969234227</v>
      </c>
      <c r="K179" s="23">
        <f t="shared" si="41"/>
        <v>51595.419784976417</v>
      </c>
      <c r="L179" s="23">
        <f t="shared" si="41"/>
        <v>25616.717379695096</v>
      </c>
      <c r="M179" s="24">
        <f t="shared" si="41"/>
        <v>161421.02110639619</v>
      </c>
      <c r="N179" s="23">
        <f t="shared" si="41"/>
        <v>18190.765296398586</v>
      </c>
      <c r="O179" s="23">
        <f t="shared" si="41"/>
        <v>18190.782796398584</v>
      </c>
      <c r="P179" s="23">
        <f t="shared" si="41"/>
        <v>18138.026274083073</v>
      </c>
      <c r="Q179" s="23">
        <f t="shared" si="41"/>
        <v>28891.43348287671</v>
      </c>
      <c r="R179" s="24">
        <f t="shared" si="41"/>
        <v>83411.007849756948</v>
      </c>
      <c r="S179" s="23">
        <f t="shared" si="41"/>
        <v>22131.981051369861</v>
      </c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</row>
    <row r="180" spans="2:36" x14ac:dyDescent="0.4">
      <c r="B180" s="13">
        <v>34</v>
      </c>
      <c r="C180" s="13" t="s">
        <v>0</v>
      </c>
      <c r="D180" s="19"/>
      <c r="E180" s="19"/>
      <c r="F180" s="19"/>
      <c r="G180" s="19"/>
      <c r="H180" s="20"/>
      <c r="I180" s="19"/>
      <c r="J180" s="19"/>
      <c r="K180" s="19"/>
      <c r="L180" s="19"/>
      <c r="M180" s="20"/>
      <c r="N180" s="19"/>
      <c r="O180" s="19"/>
      <c r="P180" s="19"/>
      <c r="Q180" s="19"/>
      <c r="R180" s="20"/>
      <c r="S180" s="19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</row>
    <row r="181" spans="2:36" x14ac:dyDescent="0.4">
      <c r="B181" s="16"/>
      <c r="C181" s="16" t="s">
        <v>2</v>
      </c>
      <c r="D181" s="17">
        <v>0</v>
      </c>
      <c r="E181" s="17">
        <v>0</v>
      </c>
      <c r="F181" s="17">
        <v>0</v>
      </c>
      <c r="G181" s="17">
        <v>0</v>
      </c>
      <c r="H181" s="18">
        <f t="shared" si="31"/>
        <v>0</v>
      </c>
      <c r="I181" s="17">
        <v>0</v>
      </c>
      <c r="J181" s="17">
        <v>0</v>
      </c>
      <c r="K181" s="17">
        <v>72893.616250000006</v>
      </c>
      <c r="L181" s="17">
        <v>20769.69125</v>
      </c>
      <c r="M181" s="18">
        <f t="shared" si="32"/>
        <v>93663.30750000001</v>
      </c>
      <c r="N181" s="17">
        <v>20997.928</v>
      </c>
      <c r="O181" s="17">
        <v>20997.928</v>
      </c>
      <c r="P181" s="17">
        <v>20541.451000000001</v>
      </c>
      <c r="Q181" s="17">
        <v>20769.69125</v>
      </c>
      <c r="R181" s="18">
        <f t="shared" si="33"/>
        <v>83306.998250000004</v>
      </c>
      <c r="S181" s="17">
        <v>20997.928</v>
      </c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</row>
    <row r="182" spans="2:36" x14ac:dyDescent="0.4">
      <c r="B182" s="13"/>
      <c r="C182" s="22" t="s">
        <v>3</v>
      </c>
      <c r="D182" s="23">
        <f t="shared" ref="D182:S182" si="42">SUM(D181:D181)</f>
        <v>0</v>
      </c>
      <c r="E182" s="23">
        <f t="shared" si="42"/>
        <v>0</v>
      </c>
      <c r="F182" s="23">
        <f t="shared" si="42"/>
        <v>0</v>
      </c>
      <c r="G182" s="23">
        <f t="shared" si="42"/>
        <v>0</v>
      </c>
      <c r="H182" s="24">
        <f t="shared" si="42"/>
        <v>0</v>
      </c>
      <c r="I182" s="23">
        <f t="shared" si="42"/>
        <v>0</v>
      </c>
      <c r="J182" s="23">
        <f t="shared" si="42"/>
        <v>0</v>
      </c>
      <c r="K182" s="23">
        <f t="shared" si="42"/>
        <v>72893.616250000006</v>
      </c>
      <c r="L182" s="23">
        <f t="shared" si="42"/>
        <v>20769.69125</v>
      </c>
      <c r="M182" s="24">
        <f t="shared" si="42"/>
        <v>93663.30750000001</v>
      </c>
      <c r="N182" s="23">
        <f t="shared" si="42"/>
        <v>20997.928</v>
      </c>
      <c r="O182" s="23">
        <f t="shared" si="42"/>
        <v>20997.928</v>
      </c>
      <c r="P182" s="23">
        <f t="shared" si="42"/>
        <v>20541.451000000001</v>
      </c>
      <c r="Q182" s="23">
        <f t="shared" si="42"/>
        <v>20769.69125</v>
      </c>
      <c r="R182" s="24">
        <f t="shared" si="42"/>
        <v>83306.998250000004</v>
      </c>
      <c r="S182" s="23">
        <f t="shared" si="42"/>
        <v>20997.928</v>
      </c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</row>
    <row r="183" spans="2:36" x14ac:dyDescent="0.4">
      <c r="B183" s="13">
        <v>35</v>
      </c>
      <c r="C183" s="13" t="s">
        <v>0</v>
      </c>
      <c r="D183" s="19"/>
      <c r="E183" s="19"/>
      <c r="F183" s="19"/>
      <c r="G183" s="19"/>
      <c r="H183" s="20"/>
      <c r="I183" s="19"/>
      <c r="J183" s="19"/>
      <c r="K183" s="19"/>
      <c r="L183" s="19"/>
      <c r="M183" s="20"/>
      <c r="N183" s="19"/>
      <c r="O183" s="19"/>
      <c r="P183" s="19"/>
      <c r="Q183" s="19"/>
      <c r="R183" s="20"/>
      <c r="S183" s="19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</row>
    <row r="184" spans="2:36" x14ac:dyDescent="0.4">
      <c r="B184" s="16"/>
      <c r="C184" s="16" t="s">
        <v>1</v>
      </c>
      <c r="D184" s="17">
        <v>0</v>
      </c>
      <c r="E184" s="17">
        <v>16976.902173913044</v>
      </c>
      <c r="F184" s="17">
        <v>18557.820048309175</v>
      </c>
      <c r="G184" s="17">
        <v>18611.912393162398</v>
      </c>
      <c r="H184" s="18">
        <f t="shared" si="31"/>
        <v>54146.634615384617</v>
      </c>
      <c r="I184" s="17">
        <v>18611.517558528427</v>
      </c>
      <c r="J184" s="17">
        <v>18593.75</v>
      </c>
      <c r="K184" s="17">
        <v>18575.982441471573</v>
      </c>
      <c r="L184" s="17">
        <v>18593.75</v>
      </c>
      <c r="M184" s="18">
        <f t="shared" si="32"/>
        <v>74375</v>
      </c>
      <c r="N184" s="17">
        <v>18611.517558528427</v>
      </c>
      <c r="O184" s="17">
        <v>18763.519021739128</v>
      </c>
      <c r="P184" s="17">
        <v>18743.398248792269</v>
      </c>
      <c r="Q184" s="17">
        <v>18798.031517094016</v>
      </c>
      <c r="R184" s="18">
        <f t="shared" si="33"/>
        <v>74916.466346153844</v>
      </c>
      <c r="S184" s="17">
        <v>18797.632734113715</v>
      </c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</row>
    <row r="185" spans="2:36" x14ac:dyDescent="0.4">
      <c r="B185" s="16"/>
      <c r="C185" s="16" t="s">
        <v>16</v>
      </c>
      <c r="D185" s="17">
        <v>0</v>
      </c>
      <c r="E185" s="17">
        <v>1933.1506849315069</v>
      </c>
      <c r="F185" s="17">
        <v>2071.232876712329</v>
      </c>
      <c r="G185" s="17">
        <v>2094.2465753424658</v>
      </c>
      <c r="H185" s="18">
        <f t="shared" si="31"/>
        <v>6098.6301369863013</v>
      </c>
      <c r="I185" s="17">
        <v>2117.2602739726026</v>
      </c>
      <c r="J185" s="17">
        <v>2111.9784415001113</v>
      </c>
      <c r="K185" s="17">
        <v>2088.5245901639346</v>
      </c>
      <c r="L185" s="17">
        <v>2088.5245901639346</v>
      </c>
      <c r="M185" s="18">
        <f t="shared" si="32"/>
        <v>8406.2878958005822</v>
      </c>
      <c r="N185" s="17">
        <v>2111.4754098360659</v>
      </c>
      <c r="O185" s="17">
        <v>2116.7572423085562</v>
      </c>
      <c r="P185" s="17">
        <v>2071.232876712329</v>
      </c>
      <c r="Q185" s="17">
        <v>2094.2465753424658</v>
      </c>
      <c r="R185" s="18">
        <f t="shared" si="33"/>
        <v>8393.7121041994178</v>
      </c>
      <c r="S185" s="17">
        <v>2117.260273972604</v>
      </c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</row>
    <row r="186" spans="2:36" x14ac:dyDescent="0.4">
      <c r="B186" s="13"/>
      <c r="C186" s="22" t="s">
        <v>3</v>
      </c>
      <c r="D186" s="23">
        <f t="shared" ref="D186:S186" si="43">SUM(D184:D185)</f>
        <v>0</v>
      </c>
      <c r="E186" s="23">
        <f t="shared" si="43"/>
        <v>18910.052858844552</v>
      </c>
      <c r="F186" s="23">
        <f t="shared" si="43"/>
        <v>20629.052925021504</v>
      </c>
      <c r="G186" s="23">
        <f t="shared" si="43"/>
        <v>20706.158968504864</v>
      </c>
      <c r="H186" s="24">
        <f t="shared" si="43"/>
        <v>60245.264752370917</v>
      </c>
      <c r="I186" s="23">
        <f t="shared" si="43"/>
        <v>20728.777832501029</v>
      </c>
      <c r="J186" s="23">
        <f t="shared" si="43"/>
        <v>20705.728441500112</v>
      </c>
      <c r="K186" s="23">
        <f t="shared" si="43"/>
        <v>20664.507031635509</v>
      </c>
      <c r="L186" s="23">
        <f t="shared" si="43"/>
        <v>20682.274590163935</v>
      </c>
      <c r="M186" s="24">
        <f t="shared" si="43"/>
        <v>82781.287895800575</v>
      </c>
      <c r="N186" s="23">
        <f t="shared" si="43"/>
        <v>20722.992968364491</v>
      </c>
      <c r="O186" s="23">
        <f t="shared" si="43"/>
        <v>20880.276264047683</v>
      </c>
      <c r="P186" s="23">
        <f t="shared" si="43"/>
        <v>20814.631125504598</v>
      </c>
      <c r="Q186" s="23">
        <f t="shared" si="43"/>
        <v>20892.278092436482</v>
      </c>
      <c r="R186" s="24">
        <f t="shared" si="43"/>
        <v>83310.178450353269</v>
      </c>
      <c r="S186" s="23">
        <f t="shared" si="43"/>
        <v>20914.893008086317</v>
      </c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</row>
    <row r="187" spans="2:36" x14ac:dyDescent="0.4">
      <c r="B187" s="13">
        <v>36</v>
      </c>
      <c r="C187" s="13" t="s">
        <v>0</v>
      </c>
      <c r="D187" s="19"/>
      <c r="E187" s="19"/>
      <c r="F187" s="19"/>
      <c r="G187" s="19"/>
      <c r="H187" s="20"/>
      <c r="I187" s="19"/>
      <c r="J187" s="19"/>
      <c r="K187" s="19"/>
      <c r="L187" s="19"/>
      <c r="M187" s="20"/>
      <c r="N187" s="19"/>
      <c r="O187" s="19"/>
      <c r="P187" s="19"/>
      <c r="Q187" s="19"/>
      <c r="R187" s="20"/>
      <c r="S187" s="19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</row>
    <row r="188" spans="2:36" x14ac:dyDescent="0.4">
      <c r="B188" s="16"/>
      <c r="C188" s="16" t="s">
        <v>2</v>
      </c>
      <c r="D188" s="17">
        <v>11810.342465753423</v>
      </c>
      <c r="E188" s="17">
        <v>11810.342465753423</v>
      </c>
      <c r="F188" s="17">
        <v>11553.595890410959</v>
      </c>
      <c r="G188" s="17">
        <v>11553.595890410958</v>
      </c>
      <c r="H188" s="18">
        <f t="shared" si="31"/>
        <v>46727.876712328762</v>
      </c>
      <c r="I188" s="17">
        <v>12956.011995482497</v>
      </c>
      <c r="J188" s="17">
        <v>12956.011995482502</v>
      </c>
      <c r="K188" s="17">
        <v>12815.185635</v>
      </c>
      <c r="L188" s="17">
        <v>12815.185267499997</v>
      </c>
      <c r="M188" s="18">
        <f t="shared" si="32"/>
        <v>51542.394893464996</v>
      </c>
      <c r="N188" s="17">
        <v>13684.910697500003</v>
      </c>
      <c r="O188" s="17">
        <v>13684.910697500001</v>
      </c>
      <c r="P188" s="17">
        <v>13387.413480000003</v>
      </c>
      <c r="Q188" s="17">
        <v>13536.161065000004</v>
      </c>
      <c r="R188" s="18">
        <f t="shared" si="33"/>
        <v>54293.395940000017</v>
      </c>
      <c r="S188" s="17">
        <v>13573.350000000004</v>
      </c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</row>
    <row r="189" spans="2:36" x14ac:dyDescent="0.4">
      <c r="B189" s="16"/>
      <c r="C189" s="16" t="s">
        <v>15</v>
      </c>
      <c r="D189" s="17">
        <v>0</v>
      </c>
      <c r="E189" s="17">
        <v>2975</v>
      </c>
      <c r="F189" s="17">
        <v>2975</v>
      </c>
      <c r="G189" s="17">
        <v>5950</v>
      </c>
      <c r="H189" s="18">
        <f t="shared" si="31"/>
        <v>11900</v>
      </c>
      <c r="I189" s="17">
        <v>2975</v>
      </c>
      <c r="J189" s="17">
        <v>5950</v>
      </c>
      <c r="K189" s="17">
        <v>5950</v>
      </c>
      <c r="L189" s="17">
        <v>5950</v>
      </c>
      <c r="M189" s="18">
        <f t="shared" si="32"/>
        <v>20825</v>
      </c>
      <c r="N189" s="17">
        <v>16275</v>
      </c>
      <c r="O189" s="17">
        <v>0</v>
      </c>
      <c r="P189" s="17">
        <v>8925</v>
      </c>
      <c r="Q189" s="17">
        <v>12950</v>
      </c>
      <c r="R189" s="18">
        <f t="shared" si="33"/>
        <v>38150</v>
      </c>
      <c r="S189" s="17">
        <v>7000</v>
      </c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</row>
    <row r="190" spans="2:36" x14ac:dyDescent="0.4">
      <c r="B190" s="16"/>
      <c r="C190" s="16" t="s">
        <v>14</v>
      </c>
      <c r="D190" s="17">
        <v>0</v>
      </c>
      <c r="E190" s="17">
        <v>0</v>
      </c>
      <c r="F190" s="17">
        <v>0</v>
      </c>
      <c r="G190" s="17">
        <v>0</v>
      </c>
      <c r="H190" s="18">
        <f t="shared" si="31"/>
        <v>0</v>
      </c>
      <c r="I190" s="17">
        <v>0</v>
      </c>
      <c r="J190" s="17">
        <v>0</v>
      </c>
      <c r="K190" s="17">
        <v>0</v>
      </c>
      <c r="L190" s="17">
        <v>12505.5</v>
      </c>
      <c r="M190" s="18">
        <f t="shared" si="32"/>
        <v>12505.5</v>
      </c>
      <c r="N190" s="17">
        <v>0</v>
      </c>
      <c r="O190" s="17">
        <v>0</v>
      </c>
      <c r="P190" s="17">
        <v>0</v>
      </c>
      <c r="Q190" s="17">
        <v>0</v>
      </c>
      <c r="R190" s="18">
        <f t="shared" si="33"/>
        <v>0</v>
      </c>
      <c r="S190" s="17">
        <v>0</v>
      </c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</row>
    <row r="191" spans="2:36" x14ac:dyDescent="0.4">
      <c r="B191" s="13"/>
      <c r="C191" s="22" t="s">
        <v>3</v>
      </c>
      <c r="D191" s="23">
        <f t="shared" ref="D191:S191" si="44">SUM(D188:D190)</f>
        <v>11810.342465753423</v>
      </c>
      <c r="E191" s="23">
        <f t="shared" si="44"/>
        <v>14785.342465753423</v>
      </c>
      <c r="F191" s="23">
        <f t="shared" si="44"/>
        <v>14528.595890410959</v>
      </c>
      <c r="G191" s="23">
        <f t="shared" si="44"/>
        <v>17503.595890410958</v>
      </c>
      <c r="H191" s="24">
        <f t="shared" si="44"/>
        <v>58627.876712328762</v>
      </c>
      <c r="I191" s="23">
        <f t="shared" si="44"/>
        <v>15931.011995482497</v>
      </c>
      <c r="J191" s="23">
        <f t="shared" si="44"/>
        <v>18906.011995482502</v>
      </c>
      <c r="K191" s="23">
        <f t="shared" si="44"/>
        <v>18765.185635000002</v>
      </c>
      <c r="L191" s="23">
        <f t="shared" si="44"/>
        <v>31270.685267499997</v>
      </c>
      <c r="M191" s="24">
        <f t="shared" si="44"/>
        <v>84872.894893464996</v>
      </c>
      <c r="N191" s="23">
        <f t="shared" si="44"/>
        <v>29959.910697500003</v>
      </c>
      <c r="O191" s="23">
        <f t="shared" si="44"/>
        <v>13684.910697500001</v>
      </c>
      <c r="P191" s="23">
        <f t="shared" si="44"/>
        <v>22312.413480000003</v>
      </c>
      <c r="Q191" s="23">
        <f t="shared" si="44"/>
        <v>26486.161065000004</v>
      </c>
      <c r="R191" s="24">
        <f t="shared" si="44"/>
        <v>92443.395940000017</v>
      </c>
      <c r="S191" s="23">
        <f t="shared" si="44"/>
        <v>20573.350000000006</v>
      </c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</row>
    <row r="192" spans="2:36" x14ac:dyDescent="0.4">
      <c r="B192" s="13">
        <v>37</v>
      </c>
      <c r="C192" s="13" t="s">
        <v>0</v>
      </c>
      <c r="D192" s="19"/>
      <c r="E192" s="19"/>
      <c r="F192" s="19"/>
      <c r="G192" s="19"/>
      <c r="H192" s="20"/>
      <c r="I192" s="19"/>
      <c r="J192" s="19"/>
      <c r="K192" s="19"/>
      <c r="L192" s="19"/>
      <c r="M192" s="20"/>
      <c r="N192" s="19"/>
      <c r="O192" s="19"/>
      <c r="P192" s="19"/>
      <c r="Q192" s="19"/>
      <c r="R192" s="20"/>
      <c r="S192" s="19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</row>
    <row r="193" spans="2:36" x14ac:dyDescent="0.4">
      <c r="B193" s="16"/>
      <c r="C193" s="16" t="s">
        <v>1</v>
      </c>
      <c r="D193" s="17">
        <v>0</v>
      </c>
      <c r="E193" s="17">
        <v>0</v>
      </c>
      <c r="F193" s="17">
        <v>0</v>
      </c>
      <c r="G193" s="17">
        <v>0</v>
      </c>
      <c r="H193" s="18">
        <f t="shared" si="31"/>
        <v>0</v>
      </c>
      <c r="I193" s="17">
        <v>4624.5901639344265</v>
      </c>
      <c r="J193" s="17">
        <v>9412.6794544940658</v>
      </c>
      <c r="K193" s="17">
        <v>10964.69468343697</v>
      </c>
      <c r="L193" s="17">
        <v>10964.694683436972</v>
      </c>
      <c r="M193" s="18">
        <f t="shared" si="32"/>
        <v>35966.658985302434</v>
      </c>
      <c r="N193" s="17">
        <v>11161.764494619052</v>
      </c>
      <c r="O193" s="17">
        <v>11798.472108138092</v>
      </c>
      <c r="P193" s="17">
        <v>11541.983584048137</v>
      </c>
      <c r="Q193" s="17">
        <v>13760.85792449654</v>
      </c>
      <c r="R193" s="18">
        <f t="shared" si="33"/>
        <v>48263.078111301817</v>
      </c>
      <c r="S193" s="17">
        <v>14967.31300613547</v>
      </c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</row>
    <row r="194" spans="2:36" x14ac:dyDescent="0.4">
      <c r="B194" s="16"/>
      <c r="C194" s="16" t="s">
        <v>16</v>
      </c>
      <c r="D194" s="17">
        <v>0</v>
      </c>
      <c r="E194" s="17">
        <v>0</v>
      </c>
      <c r="F194" s="17">
        <v>0</v>
      </c>
      <c r="G194" s="17">
        <v>0</v>
      </c>
      <c r="H194" s="18">
        <f t="shared" si="31"/>
        <v>0</v>
      </c>
      <c r="I194" s="17">
        <v>1197.1721311475405</v>
      </c>
      <c r="J194" s="17">
        <v>2417.3617877331835</v>
      </c>
      <c r="K194" s="17">
        <v>2793.3899364047479</v>
      </c>
      <c r="L194" s="17">
        <v>2793.3899364047488</v>
      </c>
      <c r="M194" s="18">
        <f t="shared" si="32"/>
        <v>9201.3137916902197</v>
      </c>
      <c r="N194" s="17">
        <v>2840.7794698426619</v>
      </c>
      <c r="O194" s="17">
        <v>2973.4353672171728</v>
      </c>
      <c r="P194" s="17">
        <v>2908.7954679298418</v>
      </c>
      <c r="Q194" s="17">
        <v>2941.1154175735082</v>
      </c>
      <c r="R194" s="18">
        <f t="shared" si="33"/>
        <v>11664.125722563185</v>
      </c>
      <c r="S194" s="17">
        <v>2973.4308624589257</v>
      </c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</row>
    <row r="195" spans="2:36" x14ac:dyDescent="0.4">
      <c r="B195" s="16"/>
      <c r="C195" s="16" t="s">
        <v>15</v>
      </c>
      <c r="D195" s="17">
        <v>0</v>
      </c>
      <c r="E195" s="17">
        <v>0</v>
      </c>
      <c r="F195" s="17">
        <v>0</v>
      </c>
      <c r="G195" s="17">
        <v>0</v>
      </c>
      <c r="H195" s="18">
        <f t="shared" si="31"/>
        <v>0</v>
      </c>
      <c r="I195" s="17">
        <v>0</v>
      </c>
      <c r="J195" s="17">
        <v>1645</v>
      </c>
      <c r="K195" s="17">
        <v>0</v>
      </c>
      <c r="L195" s="17">
        <v>0</v>
      </c>
      <c r="M195" s="18">
        <f t="shared" si="32"/>
        <v>1645</v>
      </c>
      <c r="N195" s="17">
        <v>0</v>
      </c>
      <c r="O195" s="17">
        <v>1557.5</v>
      </c>
      <c r="P195" s="17">
        <v>0</v>
      </c>
      <c r="Q195" s="17">
        <v>1557.5</v>
      </c>
      <c r="R195" s="18">
        <f t="shared" si="33"/>
        <v>3115</v>
      </c>
      <c r="S195" s="17">
        <v>1487.5</v>
      </c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</row>
    <row r="196" spans="2:36" x14ac:dyDescent="0.4">
      <c r="B196" s="13"/>
      <c r="C196" s="22" t="s">
        <v>3</v>
      </c>
      <c r="D196" s="23">
        <f t="shared" ref="D196:S196" si="45">SUM(D193:D195)</f>
        <v>0</v>
      </c>
      <c r="E196" s="23">
        <f t="shared" si="45"/>
        <v>0</v>
      </c>
      <c r="F196" s="23">
        <f t="shared" si="45"/>
        <v>0</v>
      </c>
      <c r="G196" s="23">
        <f t="shared" si="45"/>
        <v>0</v>
      </c>
      <c r="H196" s="24">
        <f t="shared" si="45"/>
        <v>0</v>
      </c>
      <c r="I196" s="23">
        <f t="shared" si="45"/>
        <v>5821.7622950819668</v>
      </c>
      <c r="J196" s="23">
        <f t="shared" si="45"/>
        <v>13475.041242227249</v>
      </c>
      <c r="K196" s="23">
        <f t="shared" si="45"/>
        <v>13758.084619841718</v>
      </c>
      <c r="L196" s="23">
        <f t="shared" si="45"/>
        <v>13758.08461984172</v>
      </c>
      <c r="M196" s="24">
        <f t="shared" si="45"/>
        <v>46812.972776992654</v>
      </c>
      <c r="N196" s="23">
        <f t="shared" si="45"/>
        <v>14002.543964461714</v>
      </c>
      <c r="O196" s="23">
        <f t="shared" si="45"/>
        <v>16329.407475355265</v>
      </c>
      <c r="P196" s="23">
        <f t="shared" si="45"/>
        <v>14450.779051977979</v>
      </c>
      <c r="Q196" s="23">
        <f t="shared" si="45"/>
        <v>18259.47334207005</v>
      </c>
      <c r="R196" s="24">
        <f t="shared" si="45"/>
        <v>63042.203833865002</v>
      </c>
      <c r="S196" s="23">
        <f t="shared" si="45"/>
        <v>19428.243868594396</v>
      </c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</row>
    <row r="197" spans="2:36" x14ac:dyDescent="0.4">
      <c r="B197" s="13">
        <v>38</v>
      </c>
      <c r="C197" s="13" t="s">
        <v>0</v>
      </c>
      <c r="D197" s="19"/>
      <c r="E197" s="19"/>
      <c r="F197" s="19"/>
      <c r="G197" s="19"/>
      <c r="H197" s="20"/>
      <c r="I197" s="19"/>
      <c r="J197" s="19"/>
      <c r="K197" s="19"/>
      <c r="L197" s="19"/>
      <c r="M197" s="20"/>
      <c r="N197" s="19"/>
      <c r="O197" s="19"/>
      <c r="P197" s="19"/>
      <c r="Q197" s="19"/>
      <c r="R197" s="20"/>
      <c r="S197" s="19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</row>
    <row r="198" spans="2:36" x14ac:dyDescent="0.4">
      <c r="B198" s="16"/>
      <c r="C198" s="16" t="s">
        <v>2</v>
      </c>
      <c r="D198" s="17">
        <v>0</v>
      </c>
      <c r="E198" s="17">
        <v>0</v>
      </c>
      <c r="F198" s="17">
        <v>0</v>
      </c>
      <c r="G198" s="17">
        <v>0</v>
      </c>
      <c r="H198" s="18">
        <f t="shared" si="31"/>
        <v>0</v>
      </c>
      <c r="I198" s="17">
        <v>0</v>
      </c>
      <c r="J198" s="17">
        <v>0</v>
      </c>
      <c r="K198" s="17">
        <v>0</v>
      </c>
      <c r="L198" s="17">
        <v>0</v>
      </c>
      <c r="M198" s="18">
        <f t="shared" si="32"/>
        <v>0</v>
      </c>
      <c r="N198" s="17">
        <v>0</v>
      </c>
      <c r="O198" s="17">
        <v>0</v>
      </c>
      <c r="P198" s="17">
        <v>0</v>
      </c>
      <c r="Q198" s="17">
        <v>0</v>
      </c>
      <c r="R198" s="18">
        <f t="shared" si="33"/>
        <v>0</v>
      </c>
      <c r="S198" s="17">
        <v>16316.999825000001</v>
      </c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</row>
    <row r="199" spans="2:36" x14ac:dyDescent="0.4">
      <c r="B199" s="16"/>
      <c r="C199" s="16" t="s">
        <v>15</v>
      </c>
      <c r="D199" s="17">
        <v>3412.5</v>
      </c>
      <c r="E199" s="17">
        <v>1706.25</v>
      </c>
      <c r="F199" s="17">
        <v>1706.25</v>
      </c>
      <c r="G199" s="17">
        <v>1706.25</v>
      </c>
      <c r="H199" s="18">
        <f t="shared" si="31"/>
        <v>8531.25</v>
      </c>
      <c r="I199" s="17">
        <v>3412.5</v>
      </c>
      <c r="J199" s="17">
        <v>1706.25</v>
      </c>
      <c r="K199" s="17">
        <v>1706.25</v>
      </c>
      <c r="L199" s="17">
        <v>3412.5</v>
      </c>
      <c r="M199" s="18">
        <f t="shared" si="32"/>
        <v>10237.5</v>
      </c>
      <c r="N199" s="17">
        <v>5118.75</v>
      </c>
      <c r="O199" s="17">
        <v>1706.25</v>
      </c>
      <c r="P199" s="17">
        <v>3412.5</v>
      </c>
      <c r="Q199" s="17">
        <v>1706.25</v>
      </c>
      <c r="R199" s="18">
        <f t="shared" si="33"/>
        <v>11943.75</v>
      </c>
      <c r="S199" s="17">
        <v>1706.25</v>
      </c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</row>
    <row r="200" spans="2:36" x14ac:dyDescent="0.4">
      <c r="B200" s="13"/>
      <c r="C200" s="22" t="s">
        <v>3</v>
      </c>
      <c r="D200" s="23">
        <f t="shared" ref="D200:S200" si="46">SUM(D198:D199)</f>
        <v>3412.5</v>
      </c>
      <c r="E200" s="23">
        <f t="shared" si="46"/>
        <v>1706.25</v>
      </c>
      <c r="F200" s="23">
        <f t="shared" si="46"/>
        <v>1706.25</v>
      </c>
      <c r="G200" s="23">
        <f t="shared" si="46"/>
        <v>1706.25</v>
      </c>
      <c r="H200" s="24">
        <f t="shared" si="46"/>
        <v>8531.25</v>
      </c>
      <c r="I200" s="23">
        <f t="shared" si="46"/>
        <v>3412.5</v>
      </c>
      <c r="J200" s="23">
        <f t="shared" si="46"/>
        <v>1706.25</v>
      </c>
      <c r="K200" s="23">
        <f t="shared" si="46"/>
        <v>1706.25</v>
      </c>
      <c r="L200" s="23">
        <f t="shared" si="46"/>
        <v>3412.5</v>
      </c>
      <c r="M200" s="24">
        <f t="shared" si="46"/>
        <v>10237.5</v>
      </c>
      <c r="N200" s="23">
        <f t="shared" si="46"/>
        <v>5118.75</v>
      </c>
      <c r="O200" s="23">
        <f t="shared" si="46"/>
        <v>1706.25</v>
      </c>
      <c r="P200" s="23">
        <f t="shared" si="46"/>
        <v>3412.5</v>
      </c>
      <c r="Q200" s="23">
        <f t="shared" si="46"/>
        <v>1706.25</v>
      </c>
      <c r="R200" s="24">
        <f t="shared" si="46"/>
        <v>11943.75</v>
      </c>
      <c r="S200" s="23">
        <f t="shared" si="46"/>
        <v>18023.249824999999</v>
      </c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</row>
    <row r="201" spans="2:36" x14ac:dyDescent="0.4">
      <c r="B201" s="13">
        <v>39</v>
      </c>
      <c r="C201" s="13" t="s">
        <v>0</v>
      </c>
      <c r="D201" s="19"/>
      <c r="E201" s="19"/>
      <c r="F201" s="19"/>
      <c r="G201" s="19"/>
      <c r="H201" s="20"/>
      <c r="I201" s="19"/>
      <c r="J201" s="19"/>
      <c r="K201" s="19"/>
      <c r="L201" s="19"/>
      <c r="M201" s="20"/>
      <c r="N201" s="19"/>
      <c r="O201" s="19"/>
      <c r="P201" s="19"/>
      <c r="Q201" s="19"/>
      <c r="R201" s="20"/>
      <c r="S201" s="19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</row>
    <row r="202" spans="2:36" x14ac:dyDescent="0.4">
      <c r="B202" s="16"/>
      <c r="C202" s="16" t="s">
        <v>2</v>
      </c>
      <c r="D202" s="17">
        <v>9112.5285616438341</v>
      </c>
      <c r="E202" s="17">
        <v>9014.5443835616461</v>
      </c>
      <c r="F202" s="17">
        <v>8818.576027397261</v>
      </c>
      <c r="G202" s="17">
        <v>8916.5602054794508</v>
      </c>
      <c r="H202" s="18">
        <f t="shared" ref="H202:H261" si="47">SUM(D202:G202)</f>
        <v>35862.209178082194</v>
      </c>
      <c r="I202" s="17">
        <v>5765.2713871375008</v>
      </c>
      <c r="J202" s="17">
        <v>8989.9140668225009</v>
      </c>
      <c r="K202" s="17">
        <v>8892.1977200000001</v>
      </c>
      <c r="L202" s="17">
        <v>8892.19751</v>
      </c>
      <c r="M202" s="18">
        <f t="shared" ref="M202:M261" si="48">SUM(I202:L202)</f>
        <v>32539.580683960005</v>
      </c>
      <c r="N202" s="17">
        <v>8958.5866142500017</v>
      </c>
      <c r="O202" s="17">
        <v>8941.0648145000014</v>
      </c>
      <c r="P202" s="17">
        <v>8933.4211294999986</v>
      </c>
      <c r="Q202" s="17">
        <v>8948.6750202499989</v>
      </c>
      <c r="R202" s="18">
        <f t="shared" ref="R202:R261" si="49">SUM(N202:Q202)</f>
        <v>35781.747578499999</v>
      </c>
      <c r="S202" s="17">
        <v>8941.0066917500008</v>
      </c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</row>
    <row r="203" spans="2:36" x14ac:dyDescent="0.4">
      <c r="B203" s="16"/>
      <c r="C203" s="16" t="s">
        <v>16</v>
      </c>
      <c r="D203" s="17">
        <v>0</v>
      </c>
      <c r="E203" s="17">
        <v>0</v>
      </c>
      <c r="F203" s="17">
        <v>0</v>
      </c>
      <c r="G203" s="17">
        <v>1326.0983606557377</v>
      </c>
      <c r="H203" s="18">
        <f t="shared" si="47"/>
        <v>1326.0983606557377</v>
      </c>
      <c r="I203" s="17">
        <v>2541.688524590164</v>
      </c>
      <c r="J203" s="17">
        <v>2541.688524590164</v>
      </c>
      <c r="K203" s="17">
        <v>2652.1967213114758</v>
      </c>
      <c r="L203" s="17">
        <v>3217.0542387154719</v>
      </c>
      <c r="M203" s="18">
        <f t="shared" si="48"/>
        <v>10952.628009207276</v>
      </c>
      <c r="N203" s="17">
        <v>3256.6109589041098</v>
      </c>
      <c r="O203" s="17">
        <v>3256.6109589041093</v>
      </c>
      <c r="P203" s="17">
        <v>3185.8150684931497</v>
      </c>
      <c r="Q203" s="17">
        <v>3221.2130136986298</v>
      </c>
      <c r="R203" s="18">
        <f t="shared" si="49"/>
        <v>12920.25</v>
      </c>
      <c r="S203" s="17">
        <v>3256.6109589041098</v>
      </c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</row>
    <row r="204" spans="2:36" x14ac:dyDescent="0.4">
      <c r="B204" s="16"/>
      <c r="C204" s="16" t="s">
        <v>15</v>
      </c>
      <c r="D204" s="17">
        <v>0</v>
      </c>
      <c r="E204" s="17">
        <v>0</v>
      </c>
      <c r="F204" s="17">
        <v>0</v>
      </c>
      <c r="G204" s="17">
        <v>0</v>
      </c>
      <c r="H204" s="18">
        <f t="shared" si="47"/>
        <v>0</v>
      </c>
      <c r="I204" s="17">
        <v>0</v>
      </c>
      <c r="J204" s="17">
        <v>7000</v>
      </c>
      <c r="K204" s="17">
        <v>0</v>
      </c>
      <c r="L204" s="17">
        <v>7000</v>
      </c>
      <c r="M204" s="18">
        <f t="shared" si="48"/>
        <v>14000</v>
      </c>
      <c r="N204" s="17">
        <v>0</v>
      </c>
      <c r="O204" s="17">
        <v>0</v>
      </c>
      <c r="P204" s="17">
        <v>2975</v>
      </c>
      <c r="Q204" s="17">
        <v>2975</v>
      </c>
      <c r="R204" s="18">
        <f t="shared" si="49"/>
        <v>5950</v>
      </c>
      <c r="S204" s="17">
        <v>5775</v>
      </c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</row>
    <row r="205" spans="2:36" x14ac:dyDescent="0.4">
      <c r="B205" s="13"/>
      <c r="C205" s="22" t="s">
        <v>3</v>
      </c>
      <c r="D205" s="23">
        <f t="shared" ref="D205:S205" si="50">SUM(D202:D204)</f>
        <v>9112.5285616438341</v>
      </c>
      <c r="E205" s="23">
        <f t="shared" si="50"/>
        <v>9014.5443835616461</v>
      </c>
      <c r="F205" s="23">
        <f t="shared" si="50"/>
        <v>8818.576027397261</v>
      </c>
      <c r="G205" s="23">
        <f t="shared" si="50"/>
        <v>10242.658566135189</v>
      </c>
      <c r="H205" s="24">
        <f t="shared" si="50"/>
        <v>37188.307538737929</v>
      </c>
      <c r="I205" s="23">
        <f t="shared" si="50"/>
        <v>8306.9599117276648</v>
      </c>
      <c r="J205" s="23">
        <f t="shared" si="50"/>
        <v>18531.602591412666</v>
      </c>
      <c r="K205" s="23">
        <f t="shared" si="50"/>
        <v>11544.394441311477</v>
      </c>
      <c r="L205" s="23">
        <f t="shared" si="50"/>
        <v>19109.251748715473</v>
      </c>
      <c r="M205" s="24">
        <f t="shared" si="50"/>
        <v>57492.208693167282</v>
      </c>
      <c r="N205" s="23">
        <f t="shared" si="50"/>
        <v>12215.197573154112</v>
      </c>
      <c r="O205" s="23">
        <f t="shared" si="50"/>
        <v>12197.675773404111</v>
      </c>
      <c r="P205" s="23">
        <f t="shared" si="50"/>
        <v>15094.236197993148</v>
      </c>
      <c r="Q205" s="23">
        <f t="shared" si="50"/>
        <v>15144.888033948628</v>
      </c>
      <c r="R205" s="24">
        <f t="shared" si="50"/>
        <v>54651.997578499999</v>
      </c>
      <c r="S205" s="23">
        <f t="shared" si="50"/>
        <v>17972.617650654109</v>
      </c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</row>
    <row r="206" spans="2:36" x14ac:dyDescent="0.4">
      <c r="B206" s="13">
        <v>40</v>
      </c>
      <c r="C206" s="13" t="s">
        <v>0</v>
      </c>
      <c r="D206" s="19"/>
      <c r="E206" s="19"/>
      <c r="F206" s="19"/>
      <c r="G206" s="19"/>
      <c r="H206" s="20"/>
      <c r="I206" s="19"/>
      <c r="J206" s="19"/>
      <c r="K206" s="19"/>
      <c r="L206" s="19"/>
      <c r="M206" s="20"/>
      <c r="N206" s="19"/>
      <c r="O206" s="19"/>
      <c r="P206" s="19"/>
      <c r="Q206" s="19"/>
      <c r="R206" s="20"/>
      <c r="S206" s="19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</row>
    <row r="207" spans="2:36" x14ac:dyDescent="0.4">
      <c r="B207" s="16"/>
      <c r="C207" s="16" t="s">
        <v>2</v>
      </c>
      <c r="D207" s="17">
        <v>7397.2131780821946</v>
      </c>
      <c r="E207" s="17">
        <v>7289.2154520547956</v>
      </c>
      <c r="F207" s="17">
        <v>7130.7542465753431</v>
      </c>
      <c r="G207" s="17">
        <v>7209.9848493150703</v>
      </c>
      <c r="H207" s="18">
        <f t="shared" si="47"/>
        <v>29027.167726027405</v>
      </c>
      <c r="I207" s="17">
        <v>7712.5372290784999</v>
      </c>
      <c r="J207" s="17">
        <v>8359.6963035582503</v>
      </c>
      <c r="K207" s="17">
        <v>8268.8303460000006</v>
      </c>
      <c r="L207" s="17">
        <v>8268.8299084999999</v>
      </c>
      <c r="M207" s="18">
        <f t="shared" si="48"/>
        <v>32609.893787136749</v>
      </c>
      <c r="N207" s="17">
        <v>8008.2181322499991</v>
      </c>
      <c r="O207" s="17">
        <v>7712.9970049999974</v>
      </c>
      <c r="P207" s="17">
        <v>7545.3373869999996</v>
      </c>
      <c r="Q207" s="17">
        <v>7629.1498990000036</v>
      </c>
      <c r="R207" s="18">
        <f t="shared" si="49"/>
        <v>30895.702423250001</v>
      </c>
      <c r="S207" s="17">
        <v>7713.0027065000022</v>
      </c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</row>
    <row r="208" spans="2:36" x14ac:dyDescent="0.4">
      <c r="B208" s="16"/>
      <c r="C208" s="16" t="s">
        <v>16</v>
      </c>
      <c r="D208" s="17">
        <v>0</v>
      </c>
      <c r="E208" s="17">
        <v>0</v>
      </c>
      <c r="F208" s="17">
        <v>0</v>
      </c>
      <c r="G208" s="17">
        <v>0</v>
      </c>
      <c r="H208" s="18">
        <f t="shared" si="47"/>
        <v>0</v>
      </c>
      <c r="I208" s="17">
        <v>0</v>
      </c>
      <c r="J208" s="17">
        <v>3167.1844262295072</v>
      </c>
      <c r="K208" s="17">
        <v>2718.9979508196725</v>
      </c>
      <c r="L208" s="17">
        <v>2718.9979508196725</v>
      </c>
      <c r="M208" s="18">
        <f t="shared" si="48"/>
        <v>8605.1803278688512</v>
      </c>
      <c r="N208" s="17">
        <v>2675.3148776106009</v>
      </c>
      <c r="O208" s="17">
        <v>2428.6068493150678</v>
      </c>
      <c r="P208" s="17">
        <v>2354.732876712329</v>
      </c>
      <c r="Q208" s="17">
        <v>2767.8479819920822</v>
      </c>
      <c r="R208" s="18">
        <f t="shared" si="49"/>
        <v>10226.50258563008</v>
      </c>
      <c r="S208" s="17">
        <v>3110.9042440353155</v>
      </c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</row>
    <row r="209" spans="2:36" x14ac:dyDescent="0.4">
      <c r="B209" s="16"/>
      <c r="C209" s="16" t="s">
        <v>15</v>
      </c>
      <c r="D209" s="17">
        <v>3167.5</v>
      </c>
      <c r="E209" s="17">
        <v>7350</v>
      </c>
      <c r="F209" s="17">
        <v>0</v>
      </c>
      <c r="G209" s="17">
        <v>1557.5</v>
      </c>
      <c r="H209" s="18">
        <f t="shared" si="47"/>
        <v>12075</v>
      </c>
      <c r="I209" s="17">
        <v>1557.5</v>
      </c>
      <c r="J209" s="17">
        <v>7000</v>
      </c>
      <c r="K209" s="17">
        <v>0</v>
      </c>
      <c r="L209" s="17">
        <v>7000</v>
      </c>
      <c r="M209" s="18">
        <f t="shared" si="48"/>
        <v>15557.5</v>
      </c>
      <c r="N209" s="17">
        <v>0</v>
      </c>
      <c r="O209" s="17">
        <v>7000</v>
      </c>
      <c r="P209" s="17">
        <v>0</v>
      </c>
      <c r="Q209" s="17">
        <v>0</v>
      </c>
      <c r="R209" s="18">
        <f t="shared" si="49"/>
        <v>7000</v>
      </c>
      <c r="S209" s="17">
        <v>7000</v>
      </c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</row>
    <row r="210" spans="2:36" x14ac:dyDescent="0.4">
      <c r="B210" s="13"/>
      <c r="C210" s="22" t="s">
        <v>3</v>
      </c>
      <c r="D210" s="23">
        <f t="shared" ref="D210:S210" si="51">SUM(D207:D209)</f>
        <v>10564.713178082195</v>
      </c>
      <c r="E210" s="23">
        <f t="shared" si="51"/>
        <v>14639.215452054796</v>
      </c>
      <c r="F210" s="23">
        <f t="shared" si="51"/>
        <v>7130.7542465753431</v>
      </c>
      <c r="G210" s="23">
        <f t="shared" si="51"/>
        <v>8767.4848493150712</v>
      </c>
      <c r="H210" s="24">
        <f t="shared" si="51"/>
        <v>41102.167726027401</v>
      </c>
      <c r="I210" s="23">
        <f t="shared" si="51"/>
        <v>9270.0372290784999</v>
      </c>
      <c r="J210" s="23">
        <f t="shared" si="51"/>
        <v>18526.880729787757</v>
      </c>
      <c r="K210" s="23">
        <f t="shared" si="51"/>
        <v>10987.828296819673</v>
      </c>
      <c r="L210" s="23">
        <f t="shared" si="51"/>
        <v>17987.827859319674</v>
      </c>
      <c r="M210" s="24">
        <f t="shared" si="51"/>
        <v>56772.574115005598</v>
      </c>
      <c r="N210" s="23">
        <f t="shared" si="51"/>
        <v>10683.533009860599</v>
      </c>
      <c r="O210" s="23">
        <f t="shared" si="51"/>
        <v>17141.603854315064</v>
      </c>
      <c r="P210" s="23">
        <f t="shared" si="51"/>
        <v>9900.0702637123286</v>
      </c>
      <c r="Q210" s="23">
        <f t="shared" si="51"/>
        <v>10396.997880992087</v>
      </c>
      <c r="R210" s="24">
        <f t="shared" si="51"/>
        <v>48122.205008880082</v>
      </c>
      <c r="S210" s="23">
        <f t="shared" si="51"/>
        <v>17823.906950535318</v>
      </c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</row>
    <row r="211" spans="2:36" x14ac:dyDescent="0.4">
      <c r="B211" s="13">
        <v>41</v>
      </c>
      <c r="C211" s="13" t="s">
        <v>0</v>
      </c>
      <c r="D211" s="19"/>
      <c r="E211" s="19"/>
      <c r="F211" s="19"/>
      <c r="G211" s="19"/>
      <c r="H211" s="20"/>
      <c r="I211" s="19"/>
      <c r="J211" s="19"/>
      <c r="K211" s="19"/>
      <c r="L211" s="19"/>
      <c r="M211" s="20"/>
      <c r="N211" s="19"/>
      <c r="O211" s="19"/>
      <c r="P211" s="19"/>
      <c r="Q211" s="19"/>
      <c r="R211" s="20"/>
      <c r="S211" s="19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</row>
    <row r="212" spans="2:36" x14ac:dyDescent="0.4">
      <c r="B212" s="16"/>
      <c r="C212" s="16" t="s">
        <v>2</v>
      </c>
      <c r="D212" s="17">
        <v>0</v>
      </c>
      <c r="E212" s="17">
        <v>56982.012499999997</v>
      </c>
      <c r="F212" s="17">
        <v>25789.574999999997</v>
      </c>
      <c r="G212" s="17">
        <v>31192.437500000007</v>
      </c>
      <c r="H212" s="18">
        <f t="shared" si="47"/>
        <v>113964.02499999999</v>
      </c>
      <c r="I212" s="17">
        <v>25789.576566372496</v>
      </c>
      <c r="J212" s="17">
        <v>25789.576566372503</v>
      </c>
      <c r="K212" s="17">
        <v>25789.575192500004</v>
      </c>
      <c r="L212" s="17">
        <v>25622.998554999998</v>
      </c>
      <c r="M212" s="18">
        <f t="shared" si="48"/>
        <v>102991.726880245</v>
      </c>
      <c r="N212" s="17">
        <v>26281.948997500007</v>
      </c>
      <c r="O212" s="17">
        <v>16299.675350000001</v>
      </c>
      <c r="P212" s="17">
        <v>16299.676644999998</v>
      </c>
      <c r="Q212" s="17">
        <v>16208.986429999995</v>
      </c>
      <c r="R212" s="18">
        <f t="shared" si="49"/>
        <v>75090.287422499998</v>
      </c>
      <c r="S212" s="17">
        <v>16329.137247499999</v>
      </c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</row>
    <row r="213" spans="2:36" x14ac:dyDescent="0.4">
      <c r="B213" s="16"/>
      <c r="C213" s="16" t="s">
        <v>15</v>
      </c>
      <c r="D213" s="17">
        <v>2476.25</v>
      </c>
      <c r="E213" s="17">
        <v>1706.25</v>
      </c>
      <c r="F213" s="17">
        <v>1706.25</v>
      </c>
      <c r="G213" s="17">
        <v>1557.5</v>
      </c>
      <c r="H213" s="18">
        <f t="shared" si="47"/>
        <v>7446.25</v>
      </c>
      <c r="I213" s="17">
        <v>4532.5</v>
      </c>
      <c r="J213" s="17">
        <v>0</v>
      </c>
      <c r="K213" s="17">
        <v>2975</v>
      </c>
      <c r="L213" s="17">
        <v>658</v>
      </c>
      <c r="M213" s="18">
        <f t="shared" si="48"/>
        <v>8165.5</v>
      </c>
      <c r="N213" s="17">
        <v>658</v>
      </c>
      <c r="O213" s="17">
        <v>2215.5</v>
      </c>
      <c r="P213" s="17">
        <v>0</v>
      </c>
      <c r="Q213" s="17">
        <v>658</v>
      </c>
      <c r="R213" s="18">
        <f t="shared" si="49"/>
        <v>3531.5</v>
      </c>
      <c r="S213" s="17">
        <v>658</v>
      </c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</row>
    <row r="214" spans="2:36" x14ac:dyDescent="0.4">
      <c r="B214" s="16"/>
      <c r="C214" s="16" t="s">
        <v>14</v>
      </c>
      <c r="D214" s="17">
        <v>0</v>
      </c>
      <c r="E214" s="17">
        <v>0</v>
      </c>
      <c r="F214" s="17">
        <v>0</v>
      </c>
      <c r="G214" s="17">
        <v>0</v>
      </c>
      <c r="H214" s="18">
        <f t="shared" si="47"/>
        <v>0</v>
      </c>
      <c r="I214" s="17">
        <v>0</v>
      </c>
      <c r="J214" s="17">
        <v>0</v>
      </c>
      <c r="K214" s="17">
        <v>0</v>
      </c>
      <c r="L214" s="17">
        <v>4865</v>
      </c>
      <c r="M214" s="18">
        <f t="shared" si="48"/>
        <v>4865</v>
      </c>
      <c r="N214" s="17">
        <v>0</v>
      </c>
      <c r="O214" s="17">
        <v>0</v>
      </c>
      <c r="P214" s="17">
        <v>0</v>
      </c>
      <c r="Q214" s="17">
        <v>0</v>
      </c>
      <c r="R214" s="18">
        <f t="shared" si="49"/>
        <v>0</v>
      </c>
      <c r="S214" s="17">
        <v>0</v>
      </c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</row>
    <row r="215" spans="2:36" x14ac:dyDescent="0.4">
      <c r="B215" s="13"/>
      <c r="C215" s="22" t="s">
        <v>3</v>
      </c>
      <c r="D215" s="23">
        <f t="shared" ref="D215:S215" si="52">SUM(D212:D214)</f>
        <v>2476.25</v>
      </c>
      <c r="E215" s="23">
        <f t="shared" si="52"/>
        <v>58688.262499999997</v>
      </c>
      <c r="F215" s="23">
        <f t="shared" si="52"/>
        <v>27495.824999999997</v>
      </c>
      <c r="G215" s="23">
        <f t="shared" si="52"/>
        <v>32749.937500000007</v>
      </c>
      <c r="H215" s="24">
        <f t="shared" si="52"/>
        <v>121410.27499999999</v>
      </c>
      <c r="I215" s="23">
        <f t="shared" si="52"/>
        <v>30322.076566372496</v>
      </c>
      <c r="J215" s="23">
        <f t="shared" si="52"/>
        <v>25789.576566372503</v>
      </c>
      <c r="K215" s="23">
        <f t="shared" si="52"/>
        <v>28764.575192500004</v>
      </c>
      <c r="L215" s="23">
        <f t="shared" si="52"/>
        <v>31145.998554999998</v>
      </c>
      <c r="M215" s="24">
        <f t="shared" si="52"/>
        <v>116022.226880245</v>
      </c>
      <c r="N215" s="23">
        <f t="shared" si="52"/>
        <v>26939.948997500007</v>
      </c>
      <c r="O215" s="23">
        <f t="shared" si="52"/>
        <v>18515.175350000001</v>
      </c>
      <c r="P215" s="23">
        <f t="shared" si="52"/>
        <v>16299.676644999998</v>
      </c>
      <c r="Q215" s="23">
        <f t="shared" si="52"/>
        <v>16866.986429999997</v>
      </c>
      <c r="R215" s="24">
        <f t="shared" si="52"/>
        <v>78621.787422499998</v>
      </c>
      <c r="S215" s="23">
        <f t="shared" si="52"/>
        <v>16987.137247499999</v>
      </c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</row>
    <row r="216" spans="2:36" x14ac:dyDescent="0.4">
      <c r="B216" s="13">
        <v>42</v>
      </c>
      <c r="C216" s="13" t="s">
        <v>0</v>
      </c>
      <c r="D216" s="19"/>
      <c r="E216" s="19"/>
      <c r="F216" s="19"/>
      <c r="G216" s="19"/>
      <c r="H216" s="20"/>
      <c r="I216" s="19"/>
      <c r="J216" s="19"/>
      <c r="K216" s="19"/>
      <c r="L216" s="19"/>
      <c r="M216" s="20"/>
      <c r="N216" s="19"/>
      <c r="O216" s="19"/>
      <c r="P216" s="19"/>
      <c r="Q216" s="19"/>
      <c r="R216" s="20"/>
      <c r="S216" s="19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</row>
    <row r="217" spans="2:36" x14ac:dyDescent="0.4">
      <c r="B217" s="16"/>
      <c r="C217" s="16" t="s">
        <v>1</v>
      </c>
      <c r="D217" s="17">
        <v>0</v>
      </c>
      <c r="E217" s="17">
        <v>0</v>
      </c>
      <c r="F217" s="17">
        <v>0</v>
      </c>
      <c r="G217" s="17">
        <v>0</v>
      </c>
      <c r="H217" s="18">
        <f t="shared" si="47"/>
        <v>0</v>
      </c>
      <c r="I217" s="17">
        <v>0</v>
      </c>
      <c r="J217" s="17">
        <v>0</v>
      </c>
      <c r="K217" s="17">
        <v>0</v>
      </c>
      <c r="L217" s="17">
        <v>0</v>
      </c>
      <c r="M217" s="18">
        <f t="shared" si="48"/>
        <v>0</v>
      </c>
      <c r="N217" s="17">
        <v>0</v>
      </c>
      <c r="O217" s="17">
        <v>0</v>
      </c>
      <c r="P217" s="17">
        <v>0</v>
      </c>
      <c r="Q217" s="17">
        <v>3684.0218048780371</v>
      </c>
      <c r="R217" s="18">
        <f t="shared" si="49"/>
        <v>3684.0218048780371</v>
      </c>
      <c r="S217" s="17">
        <v>7339.3019820071986</v>
      </c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</row>
    <row r="218" spans="2:36" x14ac:dyDescent="0.4">
      <c r="B218" s="16"/>
      <c r="C218" s="16" t="s">
        <v>16</v>
      </c>
      <c r="D218" s="17">
        <v>0</v>
      </c>
      <c r="E218" s="17">
        <v>0</v>
      </c>
      <c r="F218" s="17">
        <v>0</v>
      </c>
      <c r="G218" s="17">
        <v>0</v>
      </c>
      <c r="H218" s="18">
        <f t="shared" si="47"/>
        <v>0</v>
      </c>
      <c r="I218" s="17">
        <v>0</v>
      </c>
      <c r="J218" s="17">
        <v>0</v>
      </c>
      <c r="K218" s="17">
        <v>0</v>
      </c>
      <c r="L218" s="17">
        <v>0</v>
      </c>
      <c r="M218" s="18">
        <f t="shared" si="48"/>
        <v>0</v>
      </c>
      <c r="N218" s="17">
        <v>0</v>
      </c>
      <c r="O218" s="17">
        <v>0</v>
      </c>
      <c r="P218" s="17">
        <v>0</v>
      </c>
      <c r="Q218" s="17">
        <v>2991.780821917806</v>
      </c>
      <c r="R218" s="18">
        <f t="shared" si="49"/>
        <v>2991.780821917806</v>
      </c>
      <c r="S218" s="17">
        <v>6717.212238644559</v>
      </c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</row>
    <row r="219" spans="2:36" x14ac:dyDescent="0.4">
      <c r="B219" s="16"/>
      <c r="C219" s="16" t="s">
        <v>15</v>
      </c>
      <c r="D219" s="17">
        <v>0</v>
      </c>
      <c r="E219" s="17">
        <v>0</v>
      </c>
      <c r="F219" s="17">
        <v>0</v>
      </c>
      <c r="G219" s="17">
        <v>0</v>
      </c>
      <c r="H219" s="18">
        <f t="shared" si="47"/>
        <v>0</v>
      </c>
      <c r="I219" s="17">
        <v>0</v>
      </c>
      <c r="J219" s="17">
        <v>0</v>
      </c>
      <c r="K219" s="17">
        <v>0</v>
      </c>
      <c r="L219" s="17">
        <v>0</v>
      </c>
      <c r="M219" s="18">
        <f t="shared" si="48"/>
        <v>0</v>
      </c>
      <c r="N219" s="17">
        <v>0</v>
      </c>
      <c r="O219" s="17">
        <v>0</v>
      </c>
      <c r="P219" s="17">
        <v>0</v>
      </c>
      <c r="Q219" s="17">
        <v>1981.875</v>
      </c>
      <c r="R219" s="18">
        <f t="shared" si="49"/>
        <v>1981.875</v>
      </c>
      <c r="S219" s="17">
        <v>2800</v>
      </c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</row>
    <row r="220" spans="2:36" x14ac:dyDescent="0.4">
      <c r="B220" s="13"/>
      <c r="C220" s="22" t="s">
        <v>3</v>
      </c>
      <c r="D220" s="23">
        <f t="shared" ref="D220:S220" si="53">SUM(D217:D219)</f>
        <v>0</v>
      </c>
      <c r="E220" s="23">
        <f t="shared" si="53"/>
        <v>0</v>
      </c>
      <c r="F220" s="23">
        <f t="shared" si="53"/>
        <v>0</v>
      </c>
      <c r="G220" s="23">
        <f t="shared" si="53"/>
        <v>0</v>
      </c>
      <c r="H220" s="24">
        <f t="shared" si="53"/>
        <v>0</v>
      </c>
      <c r="I220" s="23">
        <f t="shared" si="53"/>
        <v>0</v>
      </c>
      <c r="J220" s="23">
        <f t="shared" si="53"/>
        <v>0</v>
      </c>
      <c r="K220" s="23">
        <f t="shared" si="53"/>
        <v>0</v>
      </c>
      <c r="L220" s="23">
        <f t="shared" si="53"/>
        <v>0</v>
      </c>
      <c r="M220" s="24">
        <f t="shared" si="53"/>
        <v>0</v>
      </c>
      <c r="N220" s="23">
        <f t="shared" si="53"/>
        <v>0</v>
      </c>
      <c r="O220" s="23">
        <f t="shared" si="53"/>
        <v>0</v>
      </c>
      <c r="P220" s="23">
        <f t="shared" si="53"/>
        <v>0</v>
      </c>
      <c r="Q220" s="23">
        <f t="shared" si="53"/>
        <v>8657.677626795843</v>
      </c>
      <c r="R220" s="24">
        <f t="shared" si="53"/>
        <v>8657.677626795843</v>
      </c>
      <c r="S220" s="23">
        <f t="shared" si="53"/>
        <v>16856.514220651756</v>
      </c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</row>
    <row r="221" spans="2:36" x14ac:dyDescent="0.4">
      <c r="B221" s="13">
        <v>43</v>
      </c>
      <c r="C221" s="13" t="s">
        <v>0</v>
      </c>
      <c r="D221" s="19"/>
      <c r="E221" s="19"/>
      <c r="F221" s="19"/>
      <c r="G221" s="19"/>
      <c r="H221" s="20"/>
      <c r="I221" s="19"/>
      <c r="J221" s="19"/>
      <c r="K221" s="19"/>
      <c r="L221" s="19"/>
      <c r="M221" s="20"/>
      <c r="N221" s="19"/>
      <c r="O221" s="19"/>
      <c r="P221" s="19"/>
      <c r="Q221" s="19"/>
      <c r="R221" s="20"/>
      <c r="S221" s="19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</row>
    <row r="222" spans="2:36" x14ac:dyDescent="0.4">
      <c r="B222" s="16"/>
      <c r="C222" s="16" t="s">
        <v>1</v>
      </c>
      <c r="D222" s="17">
        <v>0</v>
      </c>
      <c r="E222" s="17">
        <v>0</v>
      </c>
      <c r="F222" s="17">
        <v>0</v>
      </c>
      <c r="G222" s="17">
        <v>0</v>
      </c>
      <c r="H222" s="18">
        <f t="shared" si="47"/>
        <v>0</v>
      </c>
      <c r="I222" s="17">
        <v>0</v>
      </c>
      <c r="J222" s="17">
        <v>0</v>
      </c>
      <c r="K222" s="17">
        <v>0</v>
      </c>
      <c r="L222" s="17">
        <v>3883.5616438356183</v>
      </c>
      <c r="M222" s="18">
        <f t="shared" si="48"/>
        <v>3883.5616438356183</v>
      </c>
      <c r="N222" s="17">
        <v>9428.4146867934542</v>
      </c>
      <c r="O222" s="17">
        <v>9863.2226098745068</v>
      </c>
      <c r="P222" s="17">
        <v>9875.2369874402884</v>
      </c>
      <c r="Q222" s="17">
        <v>15792.212222741062</v>
      </c>
      <c r="R222" s="18">
        <f t="shared" si="49"/>
        <v>44959.086506849315</v>
      </c>
      <c r="S222" s="17">
        <v>11120.027397260279</v>
      </c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</row>
    <row r="223" spans="2:36" x14ac:dyDescent="0.4">
      <c r="B223" s="16"/>
      <c r="C223" s="16" t="s">
        <v>2</v>
      </c>
      <c r="D223" s="17">
        <v>1512.5178082191785</v>
      </c>
      <c r="E223" s="17">
        <v>986.42465753424653</v>
      </c>
      <c r="F223" s="17">
        <v>2005.7301369863012</v>
      </c>
      <c r="G223" s="17">
        <v>1496.0773972602742</v>
      </c>
      <c r="H223" s="18">
        <f t="shared" si="47"/>
        <v>6000.75</v>
      </c>
      <c r="I223" s="17">
        <v>1512.5177269894998</v>
      </c>
      <c r="J223" s="17">
        <v>1599.6889597395002</v>
      </c>
      <c r="K223" s="17">
        <v>1186.9629362500004</v>
      </c>
      <c r="L223" s="17">
        <v>-5.4425000001856461E-4</v>
      </c>
      <c r="M223" s="18">
        <f t="shared" si="48"/>
        <v>4299.1690787290008</v>
      </c>
      <c r="N223" s="17">
        <v>5.4425000001856461E-4</v>
      </c>
      <c r="O223" s="17">
        <v>0</v>
      </c>
      <c r="P223" s="17">
        <v>0</v>
      </c>
      <c r="Q223" s="17">
        <v>0</v>
      </c>
      <c r="R223" s="18">
        <f t="shared" si="49"/>
        <v>5.4425000001856461E-4</v>
      </c>
      <c r="S223" s="17">
        <v>0</v>
      </c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</row>
    <row r="224" spans="2:36" x14ac:dyDescent="0.4">
      <c r="B224" s="16"/>
      <c r="C224" s="16" t="s">
        <v>16</v>
      </c>
      <c r="D224" s="17">
        <v>0</v>
      </c>
      <c r="E224" s="17">
        <v>0</v>
      </c>
      <c r="F224" s="17">
        <v>0</v>
      </c>
      <c r="G224" s="17">
        <v>0</v>
      </c>
      <c r="H224" s="18">
        <f t="shared" si="47"/>
        <v>0</v>
      </c>
      <c r="I224" s="17">
        <v>0</v>
      </c>
      <c r="J224" s="17">
        <v>0</v>
      </c>
      <c r="K224" s="17">
        <v>0</v>
      </c>
      <c r="L224" s="17">
        <v>483.28767123287651</v>
      </c>
      <c r="M224" s="18">
        <f t="shared" si="48"/>
        <v>483.28767123287651</v>
      </c>
      <c r="N224" s="17">
        <v>889.24931506849316</v>
      </c>
      <c r="O224" s="17">
        <v>889.24931506849327</v>
      </c>
      <c r="P224" s="17">
        <v>869.91780821917826</v>
      </c>
      <c r="Q224" s="17">
        <v>879.58356164383531</v>
      </c>
      <c r="R224" s="18">
        <f t="shared" si="49"/>
        <v>3528</v>
      </c>
      <c r="S224" s="17">
        <v>920.02617457262545</v>
      </c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</row>
    <row r="225" spans="2:36" x14ac:dyDescent="0.4">
      <c r="B225" s="16"/>
      <c r="C225" s="16" t="s">
        <v>15</v>
      </c>
      <c r="D225" s="17">
        <v>735</v>
      </c>
      <c r="E225" s="17">
        <v>0</v>
      </c>
      <c r="F225" s="17">
        <v>0</v>
      </c>
      <c r="G225" s="17">
        <v>658</v>
      </c>
      <c r="H225" s="18">
        <f t="shared" si="47"/>
        <v>1393</v>
      </c>
      <c r="I225" s="17">
        <v>0</v>
      </c>
      <c r="J225" s="17">
        <v>1316</v>
      </c>
      <c r="K225" s="17">
        <v>2215.5</v>
      </c>
      <c r="L225" s="17">
        <v>1557.5</v>
      </c>
      <c r="M225" s="18">
        <f t="shared" si="48"/>
        <v>5089</v>
      </c>
      <c r="N225" s="17">
        <v>3115</v>
      </c>
      <c r="O225" s="17">
        <v>1557.5</v>
      </c>
      <c r="P225" s="17">
        <v>3115</v>
      </c>
      <c r="Q225" s="17">
        <v>6230</v>
      </c>
      <c r="R225" s="18">
        <f t="shared" si="49"/>
        <v>14017.5</v>
      </c>
      <c r="S225" s="17">
        <v>4602.5</v>
      </c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</row>
    <row r="226" spans="2:36" x14ac:dyDescent="0.4">
      <c r="B226" s="13"/>
      <c r="C226" s="22" t="s">
        <v>3</v>
      </c>
      <c r="D226" s="23">
        <f t="shared" ref="D226:S226" si="54">SUM(D222:D225)</f>
        <v>2247.5178082191787</v>
      </c>
      <c r="E226" s="23">
        <f t="shared" si="54"/>
        <v>986.42465753424653</v>
      </c>
      <c r="F226" s="23">
        <f t="shared" si="54"/>
        <v>2005.7301369863012</v>
      </c>
      <c r="G226" s="23">
        <f t="shared" si="54"/>
        <v>2154.0773972602742</v>
      </c>
      <c r="H226" s="24">
        <f t="shared" si="54"/>
        <v>7393.75</v>
      </c>
      <c r="I226" s="23">
        <f t="shared" si="54"/>
        <v>1512.5177269894998</v>
      </c>
      <c r="J226" s="23">
        <f t="shared" si="54"/>
        <v>2915.6889597395002</v>
      </c>
      <c r="K226" s="23">
        <f t="shared" si="54"/>
        <v>3402.4629362500004</v>
      </c>
      <c r="L226" s="23">
        <f t="shared" si="54"/>
        <v>5924.3487708184948</v>
      </c>
      <c r="M226" s="24">
        <f t="shared" si="54"/>
        <v>13755.018393797496</v>
      </c>
      <c r="N226" s="23">
        <f t="shared" si="54"/>
        <v>13432.664546111948</v>
      </c>
      <c r="O226" s="23">
        <f t="shared" si="54"/>
        <v>12309.971924943</v>
      </c>
      <c r="P226" s="23">
        <f t="shared" si="54"/>
        <v>13860.154795659466</v>
      </c>
      <c r="Q226" s="23">
        <f t="shared" si="54"/>
        <v>22901.795784384896</v>
      </c>
      <c r="R226" s="24">
        <f t="shared" si="54"/>
        <v>62504.587051099312</v>
      </c>
      <c r="S226" s="23">
        <f t="shared" si="54"/>
        <v>16642.553571832905</v>
      </c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</row>
    <row r="227" spans="2:36" x14ac:dyDescent="0.4">
      <c r="B227" s="13">
        <v>44</v>
      </c>
      <c r="C227" s="13" t="s">
        <v>0</v>
      </c>
      <c r="D227" s="19"/>
      <c r="E227" s="19"/>
      <c r="F227" s="19"/>
      <c r="G227" s="19"/>
      <c r="H227" s="20"/>
      <c r="I227" s="19"/>
      <c r="J227" s="19"/>
      <c r="K227" s="19"/>
      <c r="L227" s="19"/>
      <c r="M227" s="20"/>
      <c r="N227" s="19"/>
      <c r="O227" s="19"/>
      <c r="P227" s="19"/>
      <c r="Q227" s="19"/>
      <c r="R227" s="20"/>
      <c r="S227" s="19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</row>
    <row r="228" spans="2:36" x14ac:dyDescent="0.4">
      <c r="B228" s="16"/>
      <c r="C228" s="16" t="s">
        <v>1</v>
      </c>
      <c r="D228" s="17">
        <v>12545.819397993313</v>
      </c>
      <c r="E228" s="17">
        <v>12599.99695652174</v>
      </c>
      <c r="F228" s="17">
        <v>12483.048363458765</v>
      </c>
      <c r="G228" s="17">
        <v>12716.95163654128</v>
      </c>
      <c r="H228" s="18">
        <f t="shared" si="47"/>
        <v>50345.816354515096</v>
      </c>
      <c r="I228" s="17">
        <v>12600</v>
      </c>
      <c r="J228" s="17">
        <v>12600</v>
      </c>
      <c r="K228" s="17">
        <v>12569.565217391302</v>
      </c>
      <c r="L228" s="17">
        <v>12630.434782608696</v>
      </c>
      <c r="M228" s="18">
        <f t="shared" si="48"/>
        <v>50400</v>
      </c>
      <c r="N228" s="17">
        <v>12599.999999999998</v>
      </c>
      <c r="O228" s="17">
        <v>12600</v>
      </c>
      <c r="P228" s="17">
        <v>12483.04836345872</v>
      </c>
      <c r="Q228" s="17">
        <v>12716.95163654128</v>
      </c>
      <c r="R228" s="18">
        <f t="shared" si="49"/>
        <v>50400</v>
      </c>
      <c r="S228" s="17">
        <v>12600</v>
      </c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</row>
    <row r="229" spans="2:36" x14ac:dyDescent="0.4">
      <c r="B229" s="16"/>
      <c r="C229" s="16" t="s">
        <v>2</v>
      </c>
      <c r="D229" s="17">
        <v>0</v>
      </c>
      <c r="E229" s="17">
        <v>0</v>
      </c>
      <c r="F229" s="17">
        <v>0</v>
      </c>
      <c r="G229" s="17">
        <v>0</v>
      </c>
      <c r="H229" s="18">
        <f t="shared" si="47"/>
        <v>0</v>
      </c>
      <c r="I229" s="17">
        <v>0</v>
      </c>
      <c r="J229" s="17">
        <v>0</v>
      </c>
      <c r="K229" s="17">
        <v>0</v>
      </c>
      <c r="L229" s="17">
        <v>0</v>
      </c>
      <c r="M229" s="18">
        <f t="shared" si="48"/>
        <v>0</v>
      </c>
      <c r="N229" s="17">
        <v>915.63552499999992</v>
      </c>
      <c r="O229" s="17">
        <v>915.63552500000014</v>
      </c>
      <c r="P229" s="17">
        <v>895.73041249999994</v>
      </c>
      <c r="Q229" s="17">
        <v>905.68297750000011</v>
      </c>
      <c r="R229" s="18">
        <f t="shared" si="49"/>
        <v>3632.68444</v>
      </c>
      <c r="S229" s="17">
        <v>0</v>
      </c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</row>
    <row r="230" spans="2:36" x14ac:dyDescent="0.4">
      <c r="B230" s="16"/>
      <c r="C230" s="16" t="s">
        <v>16</v>
      </c>
      <c r="D230" s="17">
        <v>0</v>
      </c>
      <c r="E230" s="17">
        <v>0</v>
      </c>
      <c r="F230" s="17">
        <v>0</v>
      </c>
      <c r="G230" s="17">
        <v>0</v>
      </c>
      <c r="H230" s="18">
        <f t="shared" si="47"/>
        <v>0</v>
      </c>
      <c r="I230" s="17">
        <v>293.77049180327873</v>
      </c>
      <c r="J230" s="17">
        <v>211.14754098360658</v>
      </c>
      <c r="K230" s="17">
        <v>208.8524590163934</v>
      </c>
      <c r="L230" s="17">
        <v>209.07882326521457</v>
      </c>
      <c r="M230" s="18">
        <f t="shared" si="48"/>
        <v>922.8493150684933</v>
      </c>
      <c r="N230" s="17">
        <v>211.72602739726022</v>
      </c>
      <c r="O230" s="17">
        <v>1099.4794520547948</v>
      </c>
      <c r="P230" s="17">
        <v>2077.7054794520545</v>
      </c>
      <c r="Q230" s="17">
        <v>2100.7910958904104</v>
      </c>
      <c r="R230" s="18">
        <f t="shared" si="49"/>
        <v>5489.7020547945194</v>
      </c>
      <c r="S230" s="17">
        <v>2123.8767123287676</v>
      </c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</row>
    <row r="231" spans="2:36" x14ac:dyDescent="0.4">
      <c r="B231" s="16"/>
      <c r="C231" s="16" t="s">
        <v>15</v>
      </c>
      <c r="D231" s="17">
        <v>735</v>
      </c>
      <c r="E231" s="17">
        <v>1470</v>
      </c>
      <c r="F231" s="17">
        <v>3412.5</v>
      </c>
      <c r="G231" s="17">
        <v>0</v>
      </c>
      <c r="H231" s="18">
        <f t="shared" si="47"/>
        <v>5617.5</v>
      </c>
      <c r="I231" s="17">
        <v>735</v>
      </c>
      <c r="J231" s="17">
        <v>1470</v>
      </c>
      <c r="K231" s="17">
        <v>735</v>
      </c>
      <c r="L231" s="17">
        <v>735</v>
      </c>
      <c r="M231" s="18">
        <f t="shared" si="48"/>
        <v>3675</v>
      </c>
      <c r="N231" s="17">
        <v>1470</v>
      </c>
      <c r="O231" s="17">
        <v>0</v>
      </c>
      <c r="P231" s="17">
        <v>735</v>
      </c>
      <c r="Q231" s="17">
        <v>1470</v>
      </c>
      <c r="R231" s="18">
        <f t="shared" si="49"/>
        <v>3675</v>
      </c>
      <c r="S231" s="17">
        <v>1470</v>
      </c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</row>
    <row r="232" spans="2:36" x14ac:dyDescent="0.4">
      <c r="B232" s="13"/>
      <c r="C232" s="22" t="s">
        <v>3</v>
      </c>
      <c r="D232" s="23">
        <f t="shared" ref="D232:S232" si="55">SUM(D228:D231)</f>
        <v>13280.819397993313</v>
      </c>
      <c r="E232" s="23">
        <f t="shared" si="55"/>
        <v>14069.99695652174</v>
      </c>
      <c r="F232" s="23">
        <f t="shared" si="55"/>
        <v>15895.548363458765</v>
      </c>
      <c r="G232" s="23">
        <f t="shared" si="55"/>
        <v>12716.95163654128</v>
      </c>
      <c r="H232" s="24">
        <f t="shared" si="55"/>
        <v>55963.316354515096</v>
      </c>
      <c r="I232" s="23">
        <f t="shared" si="55"/>
        <v>13628.77049180328</v>
      </c>
      <c r="J232" s="23">
        <f t="shared" si="55"/>
        <v>14281.147540983606</v>
      </c>
      <c r="K232" s="23">
        <f t="shared" si="55"/>
        <v>13513.417676407696</v>
      </c>
      <c r="L232" s="23">
        <f t="shared" si="55"/>
        <v>13574.51360587391</v>
      </c>
      <c r="M232" s="24">
        <f t="shared" si="55"/>
        <v>54997.849315068495</v>
      </c>
      <c r="N232" s="23">
        <f t="shared" si="55"/>
        <v>15197.361552397258</v>
      </c>
      <c r="O232" s="23">
        <f t="shared" si="55"/>
        <v>14615.114977054795</v>
      </c>
      <c r="P232" s="23">
        <f t="shared" si="55"/>
        <v>16191.484255410774</v>
      </c>
      <c r="Q232" s="23">
        <f t="shared" si="55"/>
        <v>17193.425709931689</v>
      </c>
      <c r="R232" s="24">
        <f t="shared" si="55"/>
        <v>63197.386494794519</v>
      </c>
      <c r="S232" s="23">
        <f t="shared" si="55"/>
        <v>16193.876712328767</v>
      </c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</row>
    <row r="233" spans="2:36" x14ac:dyDescent="0.4">
      <c r="B233" s="13">
        <v>45</v>
      </c>
      <c r="C233" s="13" t="s">
        <v>0</v>
      </c>
      <c r="D233" s="19"/>
      <c r="E233" s="19"/>
      <c r="F233" s="19"/>
      <c r="G233" s="19"/>
      <c r="H233" s="20"/>
      <c r="I233" s="19"/>
      <c r="J233" s="19"/>
      <c r="K233" s="19"/>
      <c r="L233" s="19"/>
      <c r="M233" s="20"/>
      <c r="N233" s="19"/>
      <c r="O233" s="19"/>
      <c r="P233" s="19"/>
      <c r="Q233" s="19"/>
      <c r="R233" s="20"/>
      <c r="S233" s="19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</row>
    <row r="234" spans="2:36" x14ac:dyDescent="0.4">
      <c r="B234" s="16"/>
      <c r="C234" s="16" t="s">
        <v>1</v>
      </c>
      <c r="D234" s="17">
        <v>0</v>
      </c>
      <c r="E234" s="17">
        <v>0</v>
      </c>
      <c r="F234" s="17">
        <v>22323.287671232887</v>
      </c>
      <c r="G234" s="17">
        <v>31740.92465753424</v>
      </c>
      <c r="H234" s="18">
        <f t="shared" si="47"/>
        <v>54064.212328767127</v>
      </c>
      <c r="I234" s="17">
        <v>32089.726027397261</v>
      </c>
      <c r="J234" s="17">
        <v>32438.527397260266</v>
      </c>
      <c r="K234" s="17">
        <v>31678.026049854023</v>
      </c>
      <c r="L234" s="17">
        <v>31654.20081967214</v>
      </c>
      <c r="M234" s="18">
        <f t="shared" si="48"/>
        <v>127860.48029418368</v>
      </c>
      <c r="N234" s="17">
        <v>32002.049180327867</v>
      </c>
      <c r="O234" s="17">
        <v>32002.049180327871</v>
      </c>
      <c r="P234" s="17">
        <v>19597.51038625645</v>
      </c>
      <c r="Q234" s="17">
        <v>15261.821917808225</v>
      </c>
      <c r="R234" s="18">
        <f t="shared" si="49"/>
        <v>98863.430664720407</v>
      </c>
      <c r="S234" s="17">
        <v>15429.534246575338</v>
      </c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</row>
    <row r="235" spans="2:36" x14ac:dyDescent="0.4">
      <c r="B235" s="16"/>
      <c r="C235" s="16" t="s">
        <v>16</v>
      </c>
      <c r="D235" s="17">
        <v>0</v>
      </c>
      <c r="E235" s="17">
        <v>0</v>
      </c>
      <c r="F235" s="17">
        <v>4814.8927054794985</v>
      </c>
      <c r="G235" s="17">
        <v>6740.8561643835637</v>
      </c>
      <c r="H235" s="18">
        <f t="shared" si="47"/>
        <v>11555.748869863062</v>
      </c>
      <c r="I235" s="17">
        <v>6814.9315068493133</v>
      </c>
      <c r="J235" s="17">
        <v>6814.9315068493161</v>
      </c>
      <c r="K235" s="17">
        <v>4384.3630698405577</v>
      </c>
      <c r="L235" s="17">
        <v>3491.7520491803275</v>
      </c>
      <c r="M235" s="18">
        <f t="shared" si="48"/>
        <v>21505.978132719512</v>
      </c>
      <c r="N235" s="17">
        <v>3530.1229508196725</v>
      </c>
      <c r="O235" s="17">
        <v>3530.1229508196716</v>
      </c>
      <c r="P235" s="17">
        <v>1482.8341848192231</v>
      </c>
      <c r="Q235" s="17">
        <v>732.98630136986287</v>
      </c>
      <c r="R235" s="18">
        <f t="shared" si="49"/>
        <v>9276.0663878284304</v>
      </c>
      <c r="S235" s="17">
        <v>741.04109589041104</v>
      </c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</row>
    <row r="236" spans="2:36" x14ac:dyDescent="0.4">
      <c r="B236" s="16"/>
      <c r="C236" s="16" t="s">
        <v>15</v>
      </c>
      <c r="D236" s="17">
        <v>0</v>
      </c>
      <c r="E236" s="17">
        <v>0</v>
      </c>
      <c r="F236" s="17">
        <v>434</v>
      </c>
      <c r="G236" s="17">
        <v>0</v>
      </c>
      <c r="H236" s="18">
        <f t="shared" si="47"/>
        <v>434</v>
      </c>
      <c r="I236" s="17">
        <v>0</v>
      </c>
      <c r="J236" s="17">
        <v>0</v>
      </c>
      <c r="K236" s="17">
        <v>0</v>
      </c>
      <c r="L236" s="17">
        <v>0</v>
      </c>
      <c r="M236" s="18">
        <f t="shared" si="48"/>
        <v>0</v>
      </c>
      <c r="N236" s="17">
        <v>0</v>
      </c>
      <c r="O236" s="17">
        <v>0</v>
      </c>
      <c r="P236" s="17">
        <v>0</v>
      </c>
      <c r="Q236" s="17">
        <v>0</v>
      </c>
      <c r="R236" s="18">
        <f t="shared" si="49"/>
        <v>0</v>
      </c>
      <c r="S236" s="17">
        <v>0</v>
      </c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</row>
    <row r="237" spans="2:36" x14ac:dyDescent="0.4">
      <c r="B237" s="13"/>
      <c r="C237" s="13" t="s">
        <v>3</v>
      </c>
      <c r="D237" s="19">
        <f t="shared" ref="D237:S237" si="56">SUM(D234:D236)</f>
        <v>0</v>
      </c>
      <c r="E237" s="19">
        <f t="shared" si="56"/>
        <v>0</v>
      </c>
      <c r="F237" s="19">
        <f t="shared" si="56"/>
        <v>27572.180376712386</v>
      </c>
      <c r="G237" s="19">
        <f t="shared" si="56"/>
        <v>38481.780821917804</v>
      </c>
      <c r="H237" s="20">
        <f t="shared" si="56"/>
        <v>66053.96119863019</v>
      </c>
      <c r="I237" s="19">
        <f t="shared" si="56"/>
        <v>38904.657534246573</v>
      </c>
      <c r="J237" s="19">
        <f t="shared" si="56"/>
        <v>39253.458904109582</v>
      </c>
      <c r="K237" s="19">
        <f t="shared" si="56"/>
        <v>36062.389119694577</v>
      </c>
      <c r="L237" s="19">
        <f t="shared" si="56"/>
        <v>35145.952868852466</v>
      </c>
      <c r="M237" s="20">
        <f t="shared" si="56"/>
        <v>149366.45842690321</v>
      </c>
      <c r="N237" s="19">
        <f t="shared" si="56"/>
        <v>35532.172131147541</v>
      </c>
      <c r="O237" s="19">
        <f t="shared" si="56"/>
        <v>35532.172131147541</v>
      </c>
      <c r="P237" s="19">
        <f t="shared" si="56"/>
        <v>21080.344571075671</v>
      </c>
      <c r="Q237" s="19">
        <f t="shared" si="56"/>
        <v>15994.808219178089</v>
      </c>
      <c r="R237" s="20">
        <f t="shared" si="56"/>
        <v>108139.49705254883</v>
      </c>
      <c r="S237" s="19">
        <f t="shared" si="56"/>
        <v>16170.575342465749</v>
      </c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</row>
    <row r="238" spans="2:36" x14ac:dyDescent="0.4">
      <c r="B238" s="13">
        <v>46</v>
      </c>
      <c r="C238" s="13" t="s">
        <v>0</v>
      </c>
      <c r="D238" s="19"/>
      <c r="E238" s="19"/>
      <c r="F238" s="19"/>
      <c r="G238" s="19"/>
      <c r="H238" s="20"/>
      <c r="I238" s="19"/>
      <c r="J238" s="19"/>
      <c r="K238" s="19"/>
      <c r="L238" s="19"/>
      <c r="M238" s="20"/>
      <c r="N238" s="19"/>
      <c r="O238" s="19"/>
      <c r="P238" s="19"/>
      <c r="Q238" s="19"/>
      <c r="R238" s="20"/>
      <c r="S238" s="19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</row>
    <row r="239" spans="2:36" x14ac:dyDescent="0.4">
      <c r="B239" s="16"/>
      <c r="C239" s="16" t="s">
        <v>2</v>
      </c>
      <c r="D239" s="17">
        <v>11652.809863013703</v>
      </c>
      <c r="E239" s="17">
        <v>11652.871232876712</v>
      </c>
      <c r="F239" s="17">
        <v>11399.547945205482</v>
      </c>
      <c r="G239" s="17">
        <v>11526.209589041098</v>
      </c>
      <c r="H239" s="18">
        <f t="shared" si="47"/>
        <v>46231.438630136996</v>
      </c>
      <c r="I239" s="17">
        <v>11857.904961000002</v>
      </c>
      <c r="J239" s="17">
        <v>12783.092071312502</v>
      </c>
      <c r="K239" s="17">
        <v>12644.1461475</v>
      </c>
      <c r="L239" s="17">
        <v>12644.145097499999</v>
      </c>
      <c r="M239" s="18">
        <f t="shared" si="48"/>
        <v>49929.288277312495</v>
      </c>
      <c r="N239" s="17">
        <v>12793.370982</v>
      </c>
      <c r="O239" s="17">
        <v>12818.11412</v>
      </c>
      <c r="P239" s="17">
        <v>12539.459765</v>
      </c>
      <c r="Q239" s="17">
        <v>12678.786242500002</v>
      </c>
      <c r="R239" s="18">
        <f t="shared" si="49"/>
        <v>50829.731109500004</v>
      </c>
      <c r="S239" s="17">
        <v>12818.1145505</v>
      </c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</row>
    <row r="240" spans="2:36" x14ac:dyDescent="0.4">
      <c r="B240" s="16"/>
      <c r="C240" s="16" t="s">
        <v>16</v>
      </c>
      <c r="D240" s="17">
        <v>0</v>
      </c>
      <c r="E240" s="17">
        <v>0</v>
      </c>
      <c r="F240" s="17">
        <v>0</v>
      </c>
      <c r="G240" s="17">
        <v>0</v>
      </c>
      <c r="H240" s="18">
        <f t="shared" si="47"/>
        <v>0</v>
      </c>
      <c r="I240" s="17">
        <v>0</v>
      </c>
      <c r="J240" s="17">
        <v>0</v>
      </c>
      <c r="K240" s="17">
        <v>713.31147540983625</v>
      </c>
      <c r="L240" s="17">
        <v>1089.8257773070548</v>
      </c>
      <c r="M240" s="18">
        <f t="shared" si="48"/>
        <v>1803.137252716891</v>
      </c>
      <c r="N240" s="17">
        <v>1183.2345410450052</v>
      </c>
      <c r="O240" s="17">
        <v>1399.0722493783383</v>
      </c>
      <c r="P240" s="17">
        <v>1449.4059568597659</v>
      </c>
      <c r="Q240" s="17">
        <v>1465.9726027397262</v>
      </c>
      <c r="R240" s="18">
        <f t="shared" si="49"/>
        <v>5497.6853500228353</v>
      </c>
      <c r="S240" s="17">
        <v>1482.0821917808221</v>
      </c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</row>
    <row r="241" spans="2:36" x14ac:dyDescent="0.4">
      <c r="B241" s="16"/>
      <c r="C241" s="16" t="s">
        <v>15</v>
      </c>
      <c r="D241" s="17">
        <v>0</v>
      </c>
      <c r="E241" s="17">
        <v>875</v>
      </c>
      <c r="F241" s="17">
        <v>735</v>
      </c>
      <c r="G241" s="17">
        <v>1706.25</v>
      </c>
      <c r="H241" s="18">
        <f t="shared" si="47"/>
        <v>3316.25</v>
      </c>
      <c r="I241" s="17">
        <v>0</v>
      </c>
      <c r="J241" s="17">
        <v>735</v>
      </c>
      <c r="K241" s="17">
        <v>3412.5</v>
      </c>
      <c r="L241" s="17">
        <v>3412.5</v>
      </c>
      <c r="M241" s="18">
        <f t="shared" si="48"/>
        <v>7560</v>
      </c>
      <c r="N241" s="17">
        <v>3167.5</v>
      </c>
      <c r="O241" s="17">
        <v>0</v>
      </c>
      <c r="P241" s="17">
        <v>0</v>
      </c>
      <c r="Q241" s="17">
        <v>0</v>
      </c>
      <c r="R241" s="18">
        <f t="shared" si="49"/>
        <v>3167.5</v>
      </c>
      <c r="S241" s="17">
        <v>1706.25</v>
      </c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</row>
    <row r="242" spans="2:36" x14ac:dyDescent="0.4">
      <c r="B242" s="13"/>
      <c r="C242" s="22" t="s">
        <v>3</v>
      </c>
      <c r="D242" s="23">
        <f t="shared" ref="D242:S242" si="57">SUM(D239:D241)</f>
        <v>11652.809863013703</v>
      </c>
      <c r="E242" s="23">
        <f t="shared" si="57"/>
        <v>12527.871232876712</v>
      </c>
      <c r="F242" s="23">
        <f t="shared" si="57"/>
        <v>12134.547945205482</v>
      </c>
      <c r="G242" s="23">
        <f t="shared" si="57"/>
        <v>13232.459589041098</v>
      </c>
      <c r="H242" s="24">
        <f t="shared" si="57"/>
        <v>49547.688630136996</v>
      </c>
      <c r="I242" s="23">
        <f t="shared" si="57"/>
        <v>11857.904961000002</v>
      </c>
      <c r="J242" s="23">
        <f t="shared" si="57"/>
        <v>13518.092071312502</v>
      </c>
      <c r="K242" s="23">
        <f t="shared" si="57"/>
        <v>16769.957622909838</v>
      </c>
      <c r="L242" s="23">
        <f t="shared" si="57"/>
        <v>17146.470874807055</v>
      </c>
      <c r="M242" s="24">
        <f t="shared" si="57"/>
        <v>59292.425530029388</v>
      </c>
      <c r="N242" s="23">
        <f t="shared" si="57"/>
        <v>17144.105523045007</v>
      </c>
      <c r="O242" s="23">
        <f t="shared" si="57"/>
        <v>14217.186369378338</v>
      </c>
      <c r="P242" s="23">
        <f t="shared" si="57"/>
        <v>13988.865721859765</v>
      </c>
      <c r="Q242" s="23">
        <f t="shared" si="57"/>
        <v>14144.758845239729</v>
      </c>
      <c r="R242" s="24">
        <f t="shared" si="57"/>
        <v>59494.916459522836</v>
      </c>
      <c r="S242" s="23">
        <f t="shared" si="57"/>
        <v>16006.446742280823</v>
      </c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</row>
    <row r="243" spans="2:36" x14ac:dyDescent="0.4">
      <c r="B243" s="13">
        <v>47</v>
      </c>
      <c r="C243" s="13" t="s">
        <v>0</v>
      </c>
      <c r="D243" s="19"/>
      <c r="E243" s="19"/>
      <c r="F243" s="19"/>
      <c r="G243" s="19"/>
      <c r="H243" s="20"/>
      <c r="I243" s="19"/>
      <c r="J243" s="19"/>
      <c r="K243" s="19"/>
      <c r="L243" s="19"/>
      <c r="M243" s="20"/>
      <c r="N243" s="19"/>
      <c r="O243" s="19"/>
      <c r="P243" s="19"/>
      <c r="Q243" s="19"/>
      <c r="R243" s="20"/>
      <c r="S243" s="19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</row>
    <row r="244" spans="2:36" x14ac:dyDescent="0.4">
      <c r="B244" s="16"/>
      <c r="C244" s="16" t="s">
        <v>1</v>
      </c>
      <c r="D244" s="17">
        <v>0</v>
      </c>
      <c r="E244" s="17">
        <v>0</v>
      </c>
      <c r="F244" s="17">
        <v>0</v>
      </c>
      <c r="G244" s="17">
        <v>0</v>
      </c>
      <c r="H244" s="18">
        <f t="shared" si="47"/>
        <v>0</v>
      </c>
      <c r="I244" s="17">
        <v>0</v>
      </c>
      <c r="J244" s="17">
        <v>0</v>
      </c>
      <c r="K244" s="17">
        <v>0</v>
      </c>
      <c r="L244" s="17">
        <v>0</v>
      </c>
      <c r="M244" s="18">
        <f t="shared" si="48"/>
        <v>0</v>
      </c>
      <c r="N244" s="17">
        <v>6874.5513698630184</v>
      </c>
      <c r="O244" s="17">
        <v>14708.342465753418</v>
      </c>
      <c r="P244" s="17">
        <v>14388.595890410961</v>
      </c>
      <c r="Q244" s="17">
        <v>14548.469178082194</v>
      </c>
      <c r="R244" s="18">
        <f t="shared" si="49"/>
        <v>50519.958904109597</v>
      </c>
      <c r="S244" s="17">
        <v>14386.811929223742</v>
      </c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</row>
    <row r="245" spans="2:36" x14ac:dyDescent="0.4">
      <c r="B245" s="16"/>
      <c r="C245" s="16" t="s">
        <v>16</v>
      </c>
      <c r="D245" s="17">
        <v>0</v>
      </c>
      <c r="E245" s="17">
        <v>0</v>
      </c>
      <c r="F245" s="17">
        <v>0</v>
      </c>
      <c r="G245" s="17">
        <v>0</v>
      </c>
      <c r="H245" s="18">
        <f t="shared" si="47"/>
        <v>0</v>
      </c>
      <c r="I245" s="17">
        <v>0</v>
      </c>
      <c r="J245" s="17">
        <v>0</v>
      </c>
      <c r="K245" s="17">
        <v>0</v>
      </c>
      <c r="L245" s="17">
        <v>0</v>
      </c>
      <c r="M245" s="18">
        <f t="shared" si="48"/>
        <v>0</v>
      </c>
      <c r="N245" s="17">
        <v>758.89109589041107</v>
      </c>
      <c r="O245" s="17">
        <v>1623.6739726027397</v>
      </c>
      <c r="P245" s="17">
        <v>1588.3767123287671</v>
      </c>
      <c r="Q245" s="17">
        <v>1606.0253424657533</v>
      </c>
      <c r="R245" s="18">
        <f t="shared" si="49"/>
        <v>5576.9671232876708</v>
      </c>
      <c r="S245" s="17">
        <v>1564.2658312577835</v>
      </c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</row>
    <row r="246" spans="2:36" x14ac:dyDescent="0.4">
      <c r="B246" s="16"/>
      <c r="C246" s="16" t="s">
        <v>15</v>
      </c>
      <c r="D246" s="17">
        <v>0</v>
      </c>
      <c r="E246" s="17">
        <v>0</v>
      </c>
      <c r="F246" s="17">
        <v>0</v>
      </c>
      <c r="G246" s="17">
        <v>0</v>
      </c>
      <c r="H246" s="18">
        <f t="shared" si="47"/>
        <v>0</v>
      </c>
      <c r="I246" s="17">
        <v>0</v>
      </c>
      <c r="J246" s="17">
        <v>0</v>
      </c>
      <c r="K246" s="17">
        <v>0</v>
      </c>
      <c r="L246" s="17">
        <v>7087.5</v>
      </c>
      <c r="M246" s="18">
        <f t="shared" si="48"/>
        <v>7087.5</v>
      </c>
      <c r="N246" s="17">
        <v>0</v>
      </c>
      <c r="O246" s="17">
        <v>0</v>
      </c>
      <c r="P246" s="17">
        <v>0</v>
      </c>
      <c r="Q246" s="17">
        <v>0</v>
      </c>
      <c r="R246" s="18">
        <f t="shared" si="49"/>
        <v>0</v>
      </c>
      <c r="S246" s="17">
        <v>0</v>
      </c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</row>
    <row r="247" spans="2:36" x14ac:dyDescent="0.4">
      <c r="B247" s="13"/>
      <c r="C247" s="22" t="s">
        <v>3</v>
      </c>
      <c r="D247" s="23">
        <f t="shared" ref="D247:S247" si="58">SUM(D244:D246)</f>
        <v>0</v>
      </c>
      <c r="E247" s="23">
        <f t="shared" si="58"/>
        <v>0</v>
      </c>
      <c r="F247" s="23">
        <f t="shared" si="58"/>
        <v>0</v>
      </c>
      <c r="G247" s="23">
        <f t="shared" si="58"/>
        <v>0</v>
      </c>
      <c r="H247" s="24">
        <f t="shared" si="58"/>
        <v>0</v>
      </c>
      <c r="I247" s="23">
        <f t="shared" si="58"/>
        <v>0</v>
      </c>
      <c r="J247" s="23">
        <f t="shared" si="58"/>
        <v>0</v>
      </c>
      <c r="K247" s="23">
        <f t="shared" si="58"/>
        <v>0</v>
      </c>
      <c r="L247" s="23">
        <f t="shared" si="58"/>
        <v>7087.5</v>
      </c>
      <c r="M247" s="24">
        <f t="shared" si="58"/>
        <v>7087.5</v>
      </c>
      <c r="N247" s="23">
        <f t="shared" si="58"/>
        <v>7633.4424657534291</v>
      </c>
      <c r="O247" s="23">
        <f t="shared" si="58"/>
        <v>16332.016438356157</v>
      </c>
      <c r="P247" s="23">
        <f t="shared" si="58"/>
        <v>15976.972602739728</v>
      </c>
      <c r="Q247" s="23">
        <f t="shared" si="58"/>
        <v>16154.494520547947</v>
      </c>
      <c r="R247" s="24">
        <f t="shared" si="58"/>
        <v>56096.926027397269</v>
      </c>
      <c r="S247" s="23">
        <f t="shared" si="58"/>
        <v>15951.077760481527</v>
      </c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</row>
    <row r="248" spans="2:36" x14ac:dyDescent="0.4">
      <c r="B248" s="13">
        <v>48</v>
      </c>
      <c r="C248" s="13" t="s">
        <v>0</v>
      </c>
      <c r="D248" s="19"/>
      <c r="E248" s="19"/>
      <c r="F248" s="19"/>
      <c r="G248" s="19"/>
      <c r="H248" s="20"/>
      <c r="I248" s="19"/>
      <c r="J248" s="19"/>
      <c r="K248" s="19"/>
      <c r="L248" s="19"/>
      <c r="M248" s="20"/>
      <c r="N248" s="19"/>
      <c r="O248" s="19"/>
      <c r="P248" s="19"/>
      <c r="Q248" s="19"/>
      <c r="R248" s="20"/>
      <c r="S248" s="19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</row>
    <row r="249" spans="2:36" x14ac:dyDescent="0.4">
      <c r="B249" s="16"/>
      <c r="C249" s="16" t="s">
        <v>2</v>
      </c>
      <c r="D249" s="17">
        <v>13691.616438356159</v>
      </c>
      <c r="E249" s="17">
        <v>15832.96917808219</v>
      </c>
      <c r="F249" s="17">
        <v>14203.047945205479</v>
      </c>
      <c r="G249" s="17">
        <v>15189.211163822147</v>
      </c>
      <c r="H249" s="18">
        <f t="shared" si="47"/>
        <v>58916.844725465977</v>
      </c>
      <c r="I249" s="17">
        <v>16186.549605834996</v>
      </c>
      <c r="J249" s="17">
        <v>16895.418955835001</v>
      </c>
      <c r="K249" s="17">
        <v>16281.647584999995</v>
      </c>
      <c r="L249" s="17">
        <v>17196.764392500005</v>
      </c>
      <c r="M249" s="18">
        <f t="shared" si="48"/>
        <v>66560.380539170001</v>
      </c>
      <c r="N249" s="17">
        <v>17692.024087499998</v>
      </c>
      <c r="O249" s="17">
        <v>17692.024087500002</v>
      </c>
      <c r="P249" s="17">
        <v>17307.415177500003</v>
      </c>
      <c r="Q249" s="17">
        <v>14647.886226750001</v>
      </c>
      <c r="R249" s="18">
        <f t="shared" si="49"/>
        <v>67339.349579250003</v>
      </c>
      <c r="S249" s="17">
        <v>12921.684107499999</v>
      </c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</row>
    <row r="250" spans="2:36" x14ac:dyDescent="0.4">
      <c r="B250" s="16"/>
      <c r="C250" s="16" t="s">
        <v>16</v>
      </c>
      <c r="D250" s="17">
        <v>0</v>
      </c>
      <c r="E250" s="17">
        <v>0</v>
      </c>
      <c r="F250" s="17">
        <v>579.94520547945228</v>
      </c>
      <c r="G250" s="17">
        <v>732.98630136986287</v>
      </c>
      <c r="H250" s="18">
        <f t="shared" si="47"/>
        <v>1312.9315068493152</v>
      </c>
      <c r="I250" s="17">
        <v>1802.953023264713</v>
      </c>
      <c r="J250" s="17">
        <v>2156.923665722813</v>
      </c>
      <c r="K250" s="17">
        <v>2102.652295966438</v>
      </c>
      <c r="L250" s="17">
        <v>2095.0512295081971</v>
      </c>
      <c r="M250" s="18">
        <f t="shared" si="48"/>
        <v>8157.5802144621612</v>
      </c>
      <c r="N250" s="17">
        <v>2733.6316652286455</v>
      </c>
      <c r="O250" s="17">
        <v>2825.9653494391705</v>
      </c>
      <c r="P250" s="17">
        <v>2769.1254421028989</v>
      </c>
      <c r="Q250" s="17">
        <v>2801.0547945205485</v>
      </c>
      <c r="R250" s="18">
        <f t="shared" si="49"/>
        <v>11129.777251291263</v>
      </c>
      <c r="S250" s="17">
        <v>2831.8356164383563</v>
      </c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</row>
    <row r="251" spans="2:36" x14ac:dyDescent="0.4">
      <c r="B251" s="16"/>
      <c r="C251" s="16" t="s">
        <v>14</v>
      </c>
      <c r="D251" s="17">
        <v>0</v>
      </c>
      <c r="E251" s="17">
        <v>26250</v>
      </c>
      <c r="F251" s="17">
        <v>0</v>
      </c>
      <c r="G251" s="17">
        <v>38202.5</v>
      </c>
      <c r="H251" s="18">
        <f t="shared" si="47"/>
        <v>64452.5</v>
      </c>
      <c r="I251" s="17">
        <v>0</v>
      </c>
      <c r="J251" s="17">
        <v>17440.5</v>
      </c>
      <c r="K251" s="17">
        <v>0</v>
      </c>
      <c r="L251" s="17">
        <v>0</v>
      </c>
      <c r="M251" s="18">
        <f t="shared" si="48"/>
        <v>17440.5</v>
      </c>
      <c r="N251" s="17">
        <v>0</v>
      </c>
      <c r="O251" s="17">
        <v>0</v>
      </c>
      <c r="P251" s="17">
        <v>0</v>
      </c>
      <c r="Q251" s="17">
        <v>0</v>
      </c>
      <c r="R251" s="18">
        <f t="shared" si="49"/>
        <v>0</v>
      </c>
      <c r="S251" s="17">
        <v>0</v>
      </c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</row>
    <row r="252" spans="2:36" x14ac:dyDescent="0.4">
      <c r="B252" s="13"/>
      <c r="C252" s="22" t="s">
        <v>3</v>
      </c>
      <c r="D252" s="23">
        <f t="shared" ref="D252:S252" si="59">SUM(D249:D251)</f>
        <v>13691.616438356159</v>
      </c>
      <c r="E252" s="23">
        <f t="shared" si="59"/>
        <v>42082.969178082189</v>
      </c>
      <c r="F252" s="23">
        <f t="shared" si="59"/>
        <v>14782.993150684932</v>
      </c>
      <c r="G252" s="23">
        <f t="shared" si="59"/>
        <v>54124.69746519201</v>
      </c>
      <c r="H252" s="24">
        <f t="shared" si="59"/>
        <v>124682.27623231529</v>
      </c>
      <c r="I252" s="23">
        <f t="shared" si="59"/>
        <v>17989.502629099708</v>
      </c>
      <c r="J252" s="23">
        <f t="shared" si="59"/>
        <v>36492.842621557815</v>
      </c>
      <c r="K252" s="23">
        <f t="shared" si="59"/>
        <v>18384.299880966435</v>
      </c>
      <c r="L252" s="23">
        <f t="shared" si="59"/>
        <v>19291.815622008202</v>
      </c>
      <c r="M252" s="24">
        <f t="shared" si="59"/>
        <v>92158.460753632156</v>
      </c>
      <c r="N252" s="23">
        <f t="shared" si="59"/>
        <v>20425.655752728642</v>
      </c>
      <c r="O252" s="23">
        <f t="shared" si="59"/>
        <v>20517.989436939173</v>
      </c>
      <c r="P252" s="23">
        <f t="shared" si="59"/>
        <v>20076.5406196029</v>
      </c>
      <c r="Q252" s="23">
        <f t="shared" si="59"/>
        <v>17448.941021270548</v>
      </c>
      <c r="R252" s="24">
        <f t="shared" si="59"/>
        <v>78469.126830541267</v>
      </c>
      <c r="S252" s="23">
        <f t="shared" si="59"/>
        <v>15753.519723938356</v>
      </c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</row>
    <row r="253" spans="2:36" x14ac:dyDescent="0.4">
      <c r="B253" s="13">
        <v>49</v>
      </c>
      <c r="C253" s="13" t="s">
        <v>0</v>
      </c>
      <c r="D253" s="19"/>
      <c r="E253" s="19"/>
      <c r="F253" s="19"/>
      <c r="G253" s="19"/>
      <c r="H253" s="20"/>
      <c r="I253" s="19"/>
      <c r="J253" s="19"/>
      <c r="K253" s="19"/>
      <c r="L253" s="19"/>
      <c r="M253" s="20"/>
      <c r="N253" s="19"/>
      <c r="O253" s="19"/>
      <c r="P253" s="19"/>
      <c r="Q253" s="19"/>
      <c r="R253" s="20"/>
      <c r="S253" s="19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</row>
    <row r="254" spans="2:36" x14ac:dyDescent="0.4">
      <c r="B254" s="16"/>
      <c r="C254" s="16" t="s">
        <v>2</v>
      </c>
      <c r="D254" s="17">
        <v>0</v>
      </c>
      <c r="E254" s="17">
        <v>0</v>
      </c>
      <c r="F254" s="17">
        <v>0</v>
      </c>
      <c r="G254" s="17">
        <v>0</v>
      </c>
      <c r="H254" s="18">
        <f t="shared" si="47"/>
        <v>0</v>
      </c>
      <c r="I254" s="17">
        <v>10823.329138772498</v>
      </c>
      <c r="J254" s="17">
        <v>10823.329138772508</v>
      </c>
      <c r="K254" s="17">
        <v>10823.3483225</v>
      </c>
      <c r="L254" s="17">
        <v>10823.329964999997</v>
      </c>
      <c r="M254" s="18">
        <f t="shared" si="48"/>
        <v>43293.336565045007</v>
      </c>
      <c r="N254" s="17">
        <v>10823.3125</v>
      </c>
      <c r="O254" s="17">
        <v>10823.312500000004</v>
      </c>
      <c r="P254" s="17">
        <v>10823.310557499999</v>
      </c>
      <c r="Q254" s="17">
        <v>10823.3125175</v>
      </c>
      <c r="R254" s="18">
        <f t="shared" si="49"/>
        <v>43293.248075000003</v>
      </c>
      <c r="S254" s="17">
        <v>10823.312500000002</v>
      </c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</row>
    <row r="255" spans="2:36" x14ac:dyDescent="0.4">
      <c r="B255" s="16"/>
      <c r="C255" s="16" t="s">
        <v>15</v>
      </c>
      <c r="D255" s="17">
        <v>0</v>
      </c>
      <c r="E255" s="17">
        <v>0</v>
      </c>
      <c r="F255" s="17">
        <v>0</v>
      </c>
      <c r="G255" s="17">
        <v>0</v>
      </c>
      <c r="H255" s="18">
        <f t="shared" si="47"/>
        <v>0</v>
      </c>
      <c r="I255" s="17">
        <v>1706.25</v>
      </c>
      <c r="J255" s="17">
        <v>1557.5</v>
      </c>
      <c r="K255" s="17">
        <v>1557.5</v>
      </c>
      <c r="L255" s="17">
        <v>1557.5</v>
      </c>
      <c r="M255" s="18">
        <f t="shared" si="48"/>
        <v>6378.75</v>
      </c>
      <c r="N255" s="17">
        <v>0</v>
      </c>
      <c r="O255" s="17">
        <v>3115</v>
      </c>
      <c r="P255" s="17">
        <v>2215.5</v>
      </c>
      <c r="Q255" s="17">
        <v>1557.5</v>
      </c>
      <c r="R255" s="18">
        <f t="shared" si="49"/>
        <v>6888</v>
      </c>
      <c r="S255" s="17">
        <v>4672.5</v>
      </c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</row>
    <row r="256" spans="2:36" x14ac:dyDescent="0.4">
      <c r="B256" s="13"/>
      <c r="C256" s="22" t="s">
        <v>3</v>
      </c>
      <c r="D256" s="23">
        <f t="shared" ref="D256:S256" si="60">SUM(D254:D255)</f>
        <v>0</v>
      </c>
      <c r="E256" s="23">
        <f t="shared" si="60"/>
        <v>0</v>
      </c>
      <c r="F256" s="23">
        <f t="shared" si="60"/>
        <v>0</v>
      </c>
      <c r="G256" s="23">
        <f t="shared" si="60"/>
        <v>0</v>
      </c>
      <c r="H256" s="24">
        <f t="shared" si="60"/>
        <v>0</v>
      </c>
      <c r="I256" s="23">
        <f t="shared" si="60"/>
        <v>12529.579138772498</v>
      </c>
      <c r="J256" s="23">
        <f t="shared" si="60"/>
        <v>12380.829138772508</v>
      </c>
      <c r="K256" s="23">
        <f t="shared" si="60"/>
        <v>12380.8483225</v>
      </c>
      <c r="L256" s="23">
        <f t="shared" si="60"/>
        <v>12380.829964999997</v>
      </c>
      <c r="M256" s="24">
        <f t="shared" si="60"/>
        <v>49672.086565045007</v>
      </c>
      <c r="N256" s="23">
        <f t="shared" si="60"/>
        <v>10823.3125</v>
      </c>
      <c r="O256" s="23">
        <f t="shared" si="60"/>
        <v>13938.312500000004</v>
      </c>
      <c r="P256" s="23">
        <f t="shared" si="60"/>
        <v>13038.810557499999</v>
      </c>
      <c r="Q256" s="23">
        <f t="shared" si="60"/>
        <v>12380.8125175</v>
      </c>
      <c r="R256" s="24">
        <f t="shared" si="60"/>
        <v>50181.248075000003</v>
      </c>
      <c r="S256" s="23">
        <f t="shared" si="60"/>
        <v>15495.812500000002</v>
      </c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</row>
    <row r="257" spans="2:36" x14ac:dyDescent="0.4">
      <c r="B257" s="13">
        <v>50</v>
      </c>
      <c r="C257" s="13" t="s">
        <v>0</v>
      </c>
      <c r="D257" s="19"/>
      <c r="E257" s="19"/>
      <c r="F257" s="19"/>
      <c r="G257" s="19"/>
      <c r="H257" s="20"/>
      <c r="I257" s="19"/>
      <c r="J257" s="19"/>
      <c r="K257" s="19"/>
      <c r="L257" s="19"/>
      <c r="M257" s="20"/>
      <c r="N257" s="19"/>
      <c r="O257" s="19"/>
      <c r="P257" s="19"/>
      <c r="Q257" s="19"/>
      <c r="R257" s="20"/>
      <c r="S257" s="19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</row>
    <row r="258" spans="2:36" x14ac:dyDescent="0.4">
      <c r="B258" s="16"/>
      <c r="C258" s="16" t="s">
        <v>2</v>
      </c>
      <c r="D258" s="17">
        <v>10991.911095890417</v>
      </c>
      <c r="E258" s="17">
        <v>10795.575479452054</v>
      </c>
      <c r="F258" s="17">
        <v>9393.7099315068499</v>
      </c>
      <c r="G258" s="17">
        <v>10064.856746575348</v>
      </c>
      <c r="H258" s="18">
        <f t="shared" si="47"/>
        <v>41246.053253424674</v>
      </c>
      <c r="I258" s="17">
        <v>9872.6291699524991</v>
      </c>
      <c r="J258" s="17">
        <v>9916.9833014525029</v>
      </c>
      <c r="K258" s="17">
        <v>10893.178590000001</v>
      </c>
      <c r="L258" s="17">
        <v>10893.178520000001</v>
      </c>
      <c r="M258" s="18">
        <f t="shared" si="48"/>
        <v>41575.969581405006</v>
      </c>
      <c r="N258" s="17">
        <v>11012.883805000001</v>
      </c>
      <c r="O258" s="17">
        <v>11158.529054750001</v>
      </c>
      <c r="P258" s="17">
        <v>10918.663817249999</v>
      </c>
      <c r="Q258" s="17">
        <v>10834.0024975</v>
      </c>
      <c r="R258" s="18">
        <f t="shared" si="49"/>
        <v>43924.079174500002</v>
      </c>
      <c r="S258" s="17">
        <v>9524.3978164999971</v>
      </c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</row>
    <row r="259" spans="2:36" x14ac:dyDescent="0.4">
      <c r="B259" s="16"/>
      <c r="C259" s="16" t="s">
        <v>16</v>
      </c>
      <c r="D259" s="17">
        <v>0</v>
      </c>
      <c r="E259" s="17">
        <v>0</v>
      </c>
      <c r="F259" s="17">
        <v>0</v>
      </c>
      <c r="G259" s="17">
        <v>2854.7950819672133</v>
      </c>
      <c r="H259" s="18">
        <f t="shared" si="47"/>
        <v>2854.7950819672133</v>
      </c>
      <c r="I259" s="17">
        <v>4236.1475409836057</v>
      </c>
      <c r="J259" s="17">
        <v>4236.1475409836075</v>
      </c>
      <c r="K259" s="17">
        <v>4190.1024590163961</v>
      </c>
      <c r="L259" s="17">
        <v>4197.9238154053446</v>
      </c>
      <c r="M259" s="18">
        <f t="shared" si="48"/>
        <v>16860.321356388955</v>
      </c>
      <c r="N259" s="17">
        <v>4247.7534246575333</v>
      </c>
      <c r="O259" s="17">
        <v>4247.7534246575342</v>
      </c>
      <c r="P259" s="17">
        <v>4155.41095890411</v>
      </c>
      <c r="Q259" s="17">
        <v>1338.9657534246576</v>
      </c>
      <c r="R259" s="18">
        <f t="shared" si="49"/>
        <v>13989.883561643837</v>
      </c>
      <c r="S259" s="17">
        <v>0</v>
      </c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</row>
    <row r="260" spans="2:36" x14ac:dyDescent="0.4">
      <c r="B260" s="16"/>
      <c r="C260" s="16" t="s">
        <v>15</v>
      </c>
      <c r="D260" s="17">
        <v>3167.5</v>
      </c>
      <c r="E260" s="17">
        <v>5950</v>
      </c>
      <c r="F260" s="17">
        <v>0</v>
      </c>
      <c r="G260" s="17">
        <v>2975</v>
      </c>
      <c r="H260" s="18">
        <f t="shared" si="47"/>
        <v>12092.5</v>
      </c>
      <c r="I260" s="17">
        <v>2975</v>
      </c>
      <c r="J260" s="17">
        <v>5950</v>
      </c>
      <c r="K260" s="17">
        <v>5950</v>
      </c>
      <c r="L260" s="17">
        <v>5950</v>
      </c>
      <c r="M260" s="18">
        <f t="shared" si="48"/>
        <v>20825</v>
      </c>
      <c r="N260" s="17">
        <v>2975</v>
      </c>
      <c r="O260" s="17">
        <v>8925</v>
      </c>
      <c r="P260" s="17">
        <v>5950</v>
      </c>
      <c r="Q260" s="17">
        <v>7507.5</v>
      </c>
      <c r="R260" s="18">
        <f t="shared" si="49"/>
        <v>25357.5</v>
      </c>
      <c r="S260" s="17">
        <v>5775</v>
      </c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</row>
    <row r="261" spans="2:36" x14ac:dyDescent="0.4">
      <c r="B261" s="16"/>
      <c r="C261" s="16" t="s">
        <v>14</v>
      </c>
      <c r="D261" s="17">
        <v>0</v>
      </c>
      <c r="E261" s="17">
        <v>0</v>
      </c>
      <c r="F261" s="17">
        <v>0</v>
      </c>
      <c r="G261" s="17">
        <v>12250</v>
      </c>
      <c r="H261" s="18">
        <f t="shared" si="47"/>
        <v>12250</v>
      </c>
      <c r="I261" s="17">
        <v>0</v>
      </c>
      <c r="J261" s="17">
        <v>0</v>
      </c>
      <c r="K261" s="17">
        <v>0</v>
      </c>
      <c r="L261" s="17">
        <v>0</v>
      </c>
      <c r="M261" s="18">
        <f t="shared" si="48"/>
        <v>0</v>
      </c>
      <c r="N261" s="17">
        <v>0</v>
      </c>
      <c r="O261" s="17">
        <v>0</v>
      </c>
      <c r="P261" s="17">
        <v>0</v>
      </c>
      <c r="Q261" s="17">
        <v>0</v>
      </c>
      <c r="R261" s="18">
        <f t="shared" si="49"/>
        <v>0</v>
      </c>
      <c r="S261" s="17">
        <v>0</v>
      </c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</row>
    <row r="262" spans="2:36" x14ac:dyDescent="0.4">
      <c r="B262" s="13"/>
      <c r="C262" s="22" t="s">
        <v>3</v>
      </c>
      <c r="D262" s="23">
        <f t="shared" ref="D262:S262" si="61">SUM(D258:D261)</f>
        <v>14159.411095890417</v>
      </c>
      <c r="E262" s="23">
        <f t="shared" si="61"/>
        <v>16745.575479452054</v>
      </c>
      <c r="F262" s="23">
        <f t="shared" si="61"/>
        <v>9393.7099315068499</v>
      </c>
      <c r="G262" s="23">
        <f t="shared" si="61"/>
        <v>28144.651828542563</v>
      </c>
      <c r="H262" s="24">
        <f t="shared" si="61"/>
        <v>68443.348335391885</v>
      </c>
      <c r="I262" s="23">
        <f t="shared" si="61"/>
        <v>17083.776710936105</v>
      </c>
      <c r="J262" s="23">
        <f t="shared" si="61"/>
        <v>20103.130842436112</v>
      </c>
      <c r="K262" s="23">
        <f t="shared" si="61"/>
        <v>21033.281049016397</v>
      </c>
      <c r="L262" s="23">
        <f t="shared" si="61"/>
        <v>21041.102335405347</v>
      </c>
      <c r="M262" s="24">
        <f t="shared" si="61"/>
        <v>79261.290937793965</v>
      </c>
      <c r="N262" s="23">
        <f t="shared" si="61"/>
        <v>18235.637229657535</v>
      </c>
      <c r="O262" s="23">
        <f t="shared" si="61"/>
        <v>24331.282479407535</v>
      </c>
      <c r="P262" s="23">
        <f t="shared" si="61"/>
        <v>21024.07477615411</v>
      </c>
      <c r="Q262" s="23">
        <f t="shared" si="61"/>
        <v>19680.468250924656</v>
      </c>
      <c r="R262" s="24">
        <f t="shared" si="61"/>
        <v>83271.462736143847</v>
      </c>
      <c r="S262" s="23">
        <f t="shared" si="61"/>
        <v>15299.397816499997</v>
      </c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676"/>
  <sheetViews>
    <sheetView showGridLines="0" tabSelected="1" workbookViewId="0">
      <selection activeCell="C3" sqref="C3"/>
    </sheetView>
  </sheetViews>
  <sheetFormatPr defaultColWidth="9" defaultRowHeight="13.9" x14ac:dyDescent="0.4"/>
  <cols>
    <col min="1" max="1" width="2.59765625" style="4" customWidth="1"/>
    <col min="2" max="2" width="11.86328125" style="4" customWidth="1"/>
    <col min="3" max="3" width="13.73046875" style="4" customWidth="1"/>
    <col min="4" max="4" width="17.86328125" style="4" customWidth="1"/>
    <col min="5" max="5" width="14.265625" style="4" bestFit="1" customWidth="1"/>
    <col min="6" max="6" width="2.59765625" style="4" customWidth="1"/>
    <col min="7" max="7" width="13.86328125" style="4" bestFit="1" customWidth="1"/>
    <col min="8" max="16384" width="9" style="4"/>
  </cols>
  <sheetData>
    <row r="1" spans="1:6" ht="15.4" x14ac:dyDescent="0.45">
      <c r="A1" s="1" t="s">
        <v>18</v>
      </c>
      <c r="B1" s="2"/>
      <c r="C1" s="2"/>
      <c r="D1" s="2"/>
      <c r="E1" s="2"/>
      <c r="F1" s="3" t="str">
        <f ca="1">TEXT(NOW(),"mmm d, yyyy")</f>
        <v>Mar 29, 2018</v>
      </c>
    </row>
    <row r="2" spans="1:6" ht="14.25" x14ac:dyDescent="0.45">
      <c r="A2" s="5" t="s">
        <v>24</v>
      </c>
      <c r="B2" s="6"/>
      <c r="C2" s="43" t="s">
        <v>26</v>
      </c>
      <c r="D2" s="6"/>
      <c r="E2" s="6"/>
      <c r="F2" s="7" t="str">
        <f ca="1">TEXT(NOW(),"h:mm am/pm")</f>
        <v>6:22 AM</v>
      </c>
    </row>
    <row r="6" spans="1:6" x14ac:dyDescent="0.4">
      <c r="B6" s="32" t="s">
        <v>10</v>
      </c>
      <c r="C6" s="33" t="s">
        <v>11</v>
      </c>
      <c r="D6" s="32" t="s">
        <v>12</v>
      </c>
      <c r="E6" s="34" t="s">
        <v>23</v>
      </c>
    </row>
    <row r="7" spans="1:6" x14ac:dyDescent="0.4">
      <c r="B7" s="35">
        <v>1</v>
      </c>
      <c r="C7" s="36">
        <v>41883</v>
      </c>
      <c r="D7" s="37" t="s">
        <v>1</v>
      </c>
      <c r="E7" s="38">
        <v>141280.36712328769</v>
      </c>
    </row>
    <row r="8" spans="1:6" x14ac:dyDescent="0.4">
      <c r="B8" s="35">
        <v>1</v>
      </c>
      <c r="C8" s="36">
        <v>41974</v>
      </c>
      <c r="D8" s="37" t="s">
        <v>1</v>
      </c>
      <c r="E8" s="38">
        <v>141280.36712328769</v>
      </c>
    </row>
    <row r="9" spans="1:6" x14ac:dyDescent="0.4">
      <c r="B9" s="35">
        <v>1</v>
      </c>
      <c r="C9" s="36">
        <v>42064</v>
      </c>
      <c r="D9" s="37" t="s">
        <v>1</v>
      </c>
      <c r="E9" s="38">
        <v>138209.05479452055</v>
      </c>
    </row>
    <row r="10" spans="1:6" x14ac:dyDescent="0.4">
      <c r="B10" s="35">
        <v>1</v>
      </c>
      <c r="C10" s="36">
        <v>42156</v>
      </c>
      <c r="D10" s="37" t="s">
        <v>1</v>
      </c>
      <c r="E10" s="38">
        <v>139505.55139231976</v>
      </c>
    </row>
    <row r="11" spans="1:6" x14ac:dyDescent="0.4">
      <c r="B11" s="35">
        <v>1</v>
      </c>
      <c r="C11" s="36">
        <v>42248</v>
      </c>
      <c r="D11" s="37" t="s">
        <v>1</v>
      </c>
      <c r="E11" s="38">
        <v>140894.35519125691</v>
      </c>
    </row>
    <row r="12" spans="1:6" x14ac:dyDescent="0.4">
      <c r="B12" s="35">
        <v>1</v>
      </c>
      <c r="C12" s="36">
        <v>42339</v>
      </c>
      <c r="D12" s="37" t="s">
        <v>1</v>
      </c>
      <c r="E12" s="38">
        <v>140894.35519125682</v>
      </c>
    </row>
    <row r="13" spans="1:6" x14ac:dyDescent="0.4">
      <c r="B13" s="35">
        <v>1</v>
      </c>
      <c r="C13" s="36">
        <v>42430</v>
      </c>
      <c r="D13" s="37" t="s">
        <v>1</v>
      </c>
      <c r="E13" s="38">
        <v>139362.89480874315</v>
      </c>
    </row>
    <row r="14" spans="1:6" x14ac:dyDescent="0.4">
      <c r="B14" s="35">
        <v>1</v>
      </c>
      <c r="C14" s="36">
        <v>42522</v>
      </c>
      <c r="D14" s="37" t="s">
        <v>1</v>
      </c>
      <c r="E14" s="38">
        <v>139602.05437532745</v>
      </c>
    </row>
    <row r="15" spans="1:6" x14ac:dyDescent="0.4">
      <c r="B15" s="35">
        <v>1</v>
      </c>
      <c r="C15" s="36">
        <v>42614</v>
      </c>
      <c r="D15" s="37" t="s">
        <v>1</v>
      </c>
      <c r="E15" s="38">
        <v>141280.36712328769</v>
      </c>
    </row>
    <row r="16" spans="1:6" x14ac:dyDescent="0.4">
      <c r="B16" s="35">
        <v>1</v>
      </c>
      <c r="C16" s="36">
        <v>42705</v>
      </c>
      <c r="D16" s="37" t="s">
        <v>1</v>
      </c>
      <c r="E16" s="38">
        <v>402135.46613013675</v>
      </c>
    </row>
    <row r="17" spans="2:5" x14ac:dyDescent="0.4">
      <c r="B17" s="35">
        <v>1</v>
      </c>
      <c r="C17" s="36">
        <v>42795</v>
      </c>
      <c r="D17" s="37" t="s">
        <v>1</v>
      </c>
      <c r="E17" s="38">
        <v>671662.94520547963</v>
      </c>
    </row>
    <row r="18" spans="2:5" x14ac:dyDescent="0.4">
      <c r="B18" s="35">
        <v>1</v>
      </c>
      <c r="C18" s="36">
        <v>42887</v>
      </c>
      <c r="D18" s="37" t="s">
        <v>1</v>
      </c>
      <c r="E18" s="38">
        <v>534176.85616438347</v>
      </c>
    </row>
    <row r="19" spans="2:5" x14ac:dyDescent="0.4">
      <c r="B19" s="35">
        <v>1</v>
      </c>
      <c r="C19" s="36">
        <v>42979</v>
      </c>
      <c r="D19" s="37" t="s">
        <v>1</v>
      </c>
      <c r="E19" s="38">
        <v>540046.93150684948</v>
      </c>
    </row>
    <row r="20" spans="2:5" x14ac:dyDescent="0.4">
      <c r="B20" s="35">
        <v>1</v>
      </c>
      <c r="C20" s="36">
        <v>41883</v>
      </c>
      <c r="D20" s="37" t="s">
        <v>2</v>
      </c>
      <c r="E20" s="38">
        <v>8046.5418082191773</v>
      </c>
    </row>
    <row r="21" spans="2:5" x14ac:dyDescent="0.4">
      <c r="B21" s="35">
        <v>1</v>
      </c>
      <c r="C21" s="36">
        <v>41974</v>
      </c>
      <c r="D21" s="37" t="s">
        <v>2</v>
      </c>
      <c r="E21" s="38">
        <v>8046.5418082191791</v>
      </c>
    </row>
    <row r="22" spans="2:5" x14ac:dyDescent="0.4">
      <c r="B22" s="35">
        <v>1</v>
      </c>
      <c r="C22" s="36">
        <v>42064</v>
      </c>
      <c r="D22" s="37" t="s">
        <v>2</v>
      </c>
      <c r="E22" s="38">
        <v>7871.6169863013702</v>
      </c>
    </row>
    <row r="23" spans="2:5" x14ac:dyDescent="0.4">
      <c r="B23" s="35">
        <v>1</v>
      </c>
      <c r="C23" s="36">
        <v>42156</v>
      </c>
      <c r="D23" s="37" t="s">
        <v>2</v>
      </c>
      <c r="E23" s="38">
        <v>3324.4571711954495</v>
      </c>
    </row>
    <row r="24" spans="2:5" x14ac:dyDescent="0.4">
      <c r="B24" s="35">
        <v>1</v>
      </c>
      <c r="C24" s="36">
        <v>42248</v>
      </c>
      <c r="D24" s="37" t="s">
        <v>2</v>
      </c>
      <c r="E24" s="38">
        <v>-3159.7014015175005</v>
      </c>
    </row>
    <row r="25" spans="2:5" x14ac:dyDescent="0.4">
      <c r="B25" s="35">
        <v>1</v>
      </c>
      <c r="C25" s="36">
        <v>42339</v>
      </c>
      <c r="D25" s="37" t="s">
        <v>2</v>
      </c>
      <c r="E25" s="38">
        <v>-2561.6471265174996</v>
      </c>
    </row>
    <row r="26" spans="2:5" x14ac:dyDescent="0.4">
      <c r="B26" s="35">
        <v>1</v>
      </c>
      <c r="C26" s="36">
        <v>42430</v>
      </c>
      <c r="D26" s="37" t="s">
        <v>2</v>
      </c>
      <c r="E26" s="38">
        <v>-2899.5430275000003</v>
      </c>
    </row>
    <row r="27" spans="2:5" x14ac:dyDescent="0.4">
      <c r="B27" s="35">
        <v>1</v>
      </c>
      <c r="C27" s="36">
        <v>42522</v>
      </c>
      <c r="D27" s="37" t="s">
        <v>2</v>
      </c>
      <c r="E27" s="38">
        <v>4406.2735640000001</v>
      </c>
    </row>
    <row r="28" spans="2:5" x14ac:dyDescent="0.4">
      <c r="B28" s="35">
        <v>1</v>
      </c>
      <c r="C28" s="36">
        <v>42614</v>
      </c>
      <c r="D28" s="37" t="s">
        <v>2</v>
      </c>
      <c r="E28" s="38">
        <v>8915.8715625000004</v>
      </c>
    </row>
    <row r="29" spans="2:5" x14ac:dyDescent="0.4">
      <c r="B29" s="35">
        <v>1</v>
      </c>
      <c r="C29" s="36">
        <v>42705</v>
      </c>
      <c r="D29" s="37" t="s">
        <v>2</v>
      </c>
      <c r="E29" s="38">
        <v>8915.8715624999986</v>
      </c>
    </row>
    <row r="30" spans="2:5" x14ac:dyDescent="0.4">
      <c r="B30" s="35">
        <v>1</v>
      </c>
      <c r="C30" s="36">
        <v>42795</v>
      </c>
      <c r="D30" s="37" t="s">
        <v>2</v>
      </c>
      <c r="E30" s="38">
        <v>8722.0481075000007</v>
      </c>
    </row>
    <row r="31" spans="2:5" x14ac:dyDescent="0.4">
      <c r="B31" s="35">
        <v>1</v>
      </c>
      <c r="C31" s="36">
        <v>42887</v>
      </c>
      <c r="D31" s="37" t="s">
        <v>2</v>
      </c>
      <c r="E31" s="38">
        <v>8818.9598787499999</v>
      </c>
    </row>
    <row r="32" spans="2:5" x14ac:dyDescent="0.4">
      <c r="B32" s="35">
        <v>1</v>
      </c>
      <c r="C32" s="36">
        <v>42979</v>
      </c>
      <c r="D32" s="37" t="s">
        <v>2</v>
      </c>
      <c r="E32" s="38">
        <v>8915.8715625000004</v>
      </c>
    </row>
    <row r="33" spans="2:5" x14ac:dyDescent="0.4">
      <c r="B33" s="35">
        <v>1</v>
      </c>
      <c r="C33" s="36">
        <v>41883</v>
      </c>
      <c r="D33" s="37" t="s">
        <v>16</v>
      </c>
      <c r="E33" s="38">
        <v>16938.103287671234</v>
      </c>
    </row>
    <row r="34" spans="2:5" x14ac:dyDescent="0.4">
      <c r="B34" s="35">
        <v>1</v>
      </c>
      <c r="C34" s="36">
        <v>41974</v>
      </c>
      <c r="D34" s="37" t="s">
        <v>16</v>
      </c>
      <c r="E34" s="38">
        <v>16938.082191780821</v>
      </c>
    </row>
    <row r="35" spans="2:5" x14ac:dyDescent="0.4">
      <c r="B35" s="35">
        <v>1</v>
      </c>
      <c r="C35" s="36">
        <v>42064</v>
      </c>
      <c r="D35" s="37" t="s">
        <v>16</v>
      </c>
      <c r="E35" s="38">
        <v>16569.863013698628</v>
      </c>
    </row>
    <row r="36" spans="2:5" x14ac:dyDescent="0.4">
      <c r="B36" s="35">
        <v>1</v>
      </c>
      <c r="C36" s="36">
        <v>42156</v>
      </c>
      <c r="D36" s="37" t="s">
        <v>16</v>
      </c>
      <c r="E36" s="38">
        <v>16725.299797889063</v>
      </c>
    </row>
    <row r="37" spans="2:5" x14ac:dyDescent="0.4">
      <c r="B37" s="35">
        <v>1</v>
      </c>
      <c r="C37" s="36">
        <v>42248</v>
      </c>
      <c r="D37" s="37" t="s">
        <v>16</v>
      </c>
      <c r="E37" s="38">
        <v>16891.803278688523</v>
      </c>
    </row>
    <row r="38" spans="2:5" x14ac:dyDescent="0.4">
      <c r="B38" s="35">
        <v>1</v>
      </c>
      <c r="C38" s="36">
        <v>42339</v>
      </c>
      <c r="D38" s="37" t="s">
        <v>16</v>
      </c>
      <c r="E38" s="38">
        <v>16891.803278688527</v>
      </c>
    </row>
    <row r="39" spans="2:5" x14ac:dyDescent="0.4">
      <c r="B39" s="35">
        <v>1</v>
      </c>
      <c r="C39" s="36">
        <v>42430</v>
      </c>
      <c r="D39" s="37" t="s">
        <v>16</v>
      </c>
      <c r="E39" s="38">
        <v>16708.196721311477</v>
      </c>
    </row>
    <row r="40" spans="2:5" x14ac:dyDescent="0.4">
      <c r="B40" s="35">
        <v>1</v>
      </c>
      <c r="C40" s="36">
        <v>42522</v>
      </c>
      <c r="D40" s="37" t="s">
        <v>16</v>
      </c>
      <c r="E40" s="38">
        <v>18762.109526162134</v>
      </c>
    </row>
    <row r="41" spans="2:5" x14ac:dyDescent="0.4">
      <c r="B41" s="35">
        <v>1</v>
      </c>
      <c r="C41" s="36">
        <v>42614</v>
      </c>
      <c r="D41" s="37" t="s">
        <v>16</v>
      </c>
      <c r="E41" s="38">
        <v>21172.674919053559</v>
      </c>
    </row>
    <row r="42" spans="2:5" x14ac:dyDescent="0.4">
      <c r="B42" s="35">
        <v>1</v>
      </c>
      <c r="C42" s="36">
        <v>42705</v>
      </c>
      <c r="D42" s="37" t="s">
        <v>16</v>
      </c>
      <c r="E42" s="38">
        <v>42345.198985056057</v>
      </c>
    </row>
    <row r="43" spans="2:5" x14ac:dyDescent="0.4">
      <c r="B43" s="35">
        <v>1</v>
      </c>
      <c r="C43" s="36">
        <v>42795</v>
      </c>
      <c r="D43" s="37" t="s">
        <v>16</v>
      </c>
      <c r="E43" s="38">
        <v>41424.657534246566</v>
      </c>
    </row>
    <row r="44" spans="2:5" x14ac:dyDescent="0.4">
      <c r="B44" s="35">
        <v>1</v>
      </c>
      <c r="C44" s="36">
        <v>42887</v>
      </c>
      <c r="D44" s="37" t="s">
        <v>16</v>
      </c>
      <c r="E44" s="38">
        <v>41884.931506849323</v>
      </c>
    </row>
    <row r="45" spans="2:5" x14ac:dyDescent="0.4">
      <c r="B45" s="35">
        <v>1</v>
      </c>
      <c r="C45" s="36">
        <v>42979</v>
      </c>
      <c r="D45" s="37" t="s">
        <v>16</v>
      </c>
      <c r="E45" s="38">
        <v>42345.205479452037</v>
      </c>
    </row>
    <row r="46" spans="2:5" x14ac:dyDescent="0.4">
      <c r="B46" s="35">
        <v>1</v>
      </c>
      <c r="C46" s="36">
        <v>41883</v>
      </c>
      <c r="D46" s="37" t="s">
        <v>15</v>
      </c>
      <c r="E46" s="38">
        <v>23450</v>
      </c>
    </row>
    <row r="47" spans="2:5" x14ac:dyDescent="0.4">
      <c r="B47" s="35">
        <v>1</v>
      </c>
      <c r="C47" s="36">
        <v>41974</v>
      </c>
      <c r="D47" s="37" t="s">
        <v>15</v>
      </c>
      <c r="E47" s="38">
        <v>47206.25</v>
      </c>
    </row>
    <row r="48" spans="2:5" x14ac:dyDescent="0.4">
      <c r="B48" s="35">
        <v>1</v>
      </c>
      <c r="C48" s="36">
        <v>42064</v>
      </c>
      <c r="D48" s="37" t="s">
        <v>15</v>
      </c>
      <c r="E48" s="38">
        <v>23450</v>
      </c>
    </row>
    <row r="49" spans="2:5" x14ac:dyDescent="0.4">
      <c r="B49" s="35">
        <v>1</v>
      </c>
      <c r="C49" s="36">
        <v>42156</v>
      </c>
      <c r="D49" s="37" t="s">
        <v>15</v>
      </c>
      <c r="E49" s="38">
        <v>23450</v>
      </c>
    </row>
    <row r="50" spans="2:5" x14ac:dyDescent="0.4">
      <c r="B50" s="35">
        <v>1</v>
      </c>
      <c r="C50" s="36">
        <v>42248</v>
      </c>
      <c r="D50" s="37" t="s">
        <v>15</v>
      </c>
      <c r="E50" s="38">
        <v>46900</v>
      </c>
    </row>
    <row r="51" spans="2:5" x14ac:dyDescent="0.4">
      <c r="B51" s="35">
        <v>1</v>
      </c>
      <c r="C51" s="36">
        <v>42339</v>
      </c>
      <c r="D51" s="37" t="s">
        <v>15</v>
      </c>
      <c r="E51" s="38">
        <v>46900</v>
      </c>
    </row>
    <row r="52" spans="2:5" x14ac:dyDescent="0.4">
      <c r="B52" s="35">
        <v>1</v>
      </c>
      <c r="C52" s="36">
        <v>42430</v>
      </c>
      <c r="D52" s="37" t="s">
        <v>15</v>
      </c>
      <c r="E52" s="38">
        <v>23450</v>
      </c>
    </row>
    <row r="53" spans="2:5" x14ac:dyDescent="0.4">
      <c r="B53" s="35">
        <v>1</v>
      </c>
      <c r="C53" s="36">
        <v>42522</v>
      </c>
      <c r="D53" s="37" t="s">
        <v>15</v>
      </c>
      <c r="E53" s="38">
        <v>46900</v>
      </c>
    </row>
    <row r="54" spans="2:5" x14ac:dyDescent="0.4">
      <c r="B54" s="35">
        <v>1</v>
      </c>
      <c r="C54" s="36">
        <v>42614</v>
      </c>
      <c r="D54" s="37" t="s">
        <v>15</v>
      </c>
      <c r="E54" s="38">
        <v>46900</v>
      </c>
    </row>
    <row r="55" spans="2:5" x14ac:dyDescent="0.4">
      <c r="B55" s="35">
        <v>1</v>
      </c>
      <c r="C55" s="36">
        <v>42705</v>
      </c>
      <c r="D55" s="37" t="s">
        <v>15</v>
      </c>
      <c r="E55" s="38">
        <v>70350</v>
      </c>
    </row>
    <row r="56" spans="2:5" x14ac:dyDescent="0.4">
      <c r="B56" s="35">
        <v>1</v>
      </c>
      <c r="C56" s="36">
        <v>42795</v>
      </c>
      <c r="D56" s="37" t="s">
        <v>15</v>
      </c>
      <c r="E56" s="38">
        <v>46900</v>
      </c>
    </row>
    <row r="57" spans="2:5" x14ac:dyDescent="0.4">
      <c r="B57" s="35">
        <v>1</v>
      </c>
      <c r="C57" s="36">
        <v>42887</v>
      </c>
      <c r="D57" s="37" t="s">
        <v>15</v>
      </c>
      <c r="E57" s="38">
        <v>70350</v>
      </c>
    </row>
    <row r="58" spans="2:5" x14ac:dyDescent="0.4">
      <c r="B58" s="35">
        <v>1</v>
      </c>
      <c r="C58" s="36">
        <v>42979</v>
      </c>
      <c r="D58" s="37" t="s">
        <v>15</v>
      </c>
      <c r="E58" s="38">
        <v>70350</v>
      </c>
    </row>
    <row r="59" spans="2:5" x14ac:dyDescent="0.4">
      <c r="B59" s="35">
        <v>1</v>
      </c>
      <c r="C59" s="36">
        <v>42430</v>
      </c>
      <c r="D59" s="37" t="s">
        <v>14</v>
      </c>
      <c r="E59" s="38">
        <v>1678.25</v>
      </c>
    </row>
    <row r="60" spans="2:5" x14ac:dyDescent="0.4">
      <c r="B60" s="35">
        <v>2</v>
      </c>
      <c r="C60" s="36">
        <v>42430</v>
      </c>
      <c r="D60" s="37" t="s">
        <v>1</v>
      </c>
      <c r="E60" s="38">
        <v>24672.132008196597</v>
      </c>
    </row>
    <row r="61" spans="2:5" x14ac:dyDescent="0.4">
      <c r="B61" s="35">
        <v>2</v>
      </c>
      <c r="C61" s="36">
        <v>42522</v>
      </c>
      <c r="D61" s="37" t="s">
        <v>1</v>
      </c>
      <c r="E61" s="38">
        <v>26746.557377049176</v>
      </c>
    </row>
    <row r="62" spans="2:5" x14ac:dyDescent="0.4">
      <c r="B62" s="35">
        <v>2</v>
      </c>
      <c r="C62" s="36">
        <v>42614</v>
      </c>
      <c r="D62" s="37" t="s">
        <v>1</v>
      </c>
      <c r="E62" s="38">
        <v>28045.775131869814</v>
      </c>
    </row>
    <row r="63" spans="2:5" x14ac:dyDescent="0.4">
      <c r="B63" s="35">
        <v>2</v>
      </c>
      <c r="C63" s="36">
        <v>42705</v>
      </c>
      <c r="D63" s="37" t="s">
        <v>1</v>
      </c>
      <c r="E63" s="38">
        <v>33221.05627175032</v>
      </c>
    </row>
    <row r="64" spans="2:5" x14ac:dyDescent="0.4">
      <c r="B64" s="35">
        <v>2</v>
      </c>
      <c r="C64" s="36">
        <v>42795</v>
      </c>
      <c r="D64" s="37" t="s">
        <v>1</v>
      </c>
      <c r="E64" s="38">
        <v>35074.196922000134</v>
      </c>
    </row>
    <row r="65" spans="2:5" x14ac:dyDescent="0.4">
      <c r="B65" s="35">
        <v>2</v>
      </c>
      <c r="C65" s="36">
        <v>42887</v>
      </c>
      <c r="D65" s="37" t="s">
        <v>1</v>
      </c>
      <c r="E65" s="38">
        <v>38456.529523681573</v>
      </c>
    </row>
    <row r="66" spans="2:5" x14ac:dyDescent="0.4">
      <c r="B66" s="35">
        <v>2</v>
      </c>
      <c r="C66" s="36">
        <v>42979</v>
      </c>
      <c r="D66" s="37" t="s">
        <v>1</v>
      </c>
      <c r="E66" s="38">
        <v>134551.91251614457</v>
      </c>
    </row>
    <row r="67" spans="2:5" x14ac:dyDescent="0.4">
      <c r="B67" s="35">
        <v>2</v>
      </c>
      <c r="C67" s="36">
        <v>41883</v>
      </c>
      <c r="D67" s="37" t="s">
        <v>2</v>
      </c>
      <c r="E67" s="38">
        <v>61475.09315068493</v>
      </c>
    </row>
    <row r="68" spans="2:5" x14ac:dyDescent="0.4">
      <c r="B68" s="35">
        <v>2</v>
      </c>
      <c r="C68" s="36">
        <v>41974</v>
      </c>
      <c r="D68" s="37" t="s">
        <v>2</v>
      </c>
      <c r="E68" s="38">
        <v>61672.790410958878</v>
      </c>
    </row>
    <row r="69" spans="2:5" x14ac:dyDescent="0.4">
      <c r="B69" s="35">
        <v>2</v>
      </c>
      <c r="C69" s="36">
        <v>42064</v>
      </c>
      <c r="D69" s="37" t="s">
        <v>2</v>
      </c>
      <c r="E69" s="38">
        <v>69035.054794520547</v>
      </c>
    </row>
    <row r="70" spans="2:5" x14ac:dyDescent="0.4">
      <c r="B70" s="35">
        <v>2</v>
      </c>
      <c r="C70" s="36">
        <v>42156</v>
      </c>
      <c r="D70" s="37" t="s">
        <v>2</v>
      </c>
      <c r="E70" s="38">
        <v>69802.110958904115</v>
      </c>
    </row>
    <row r="71" spans="2:5" x14ac:dyDescent="0.4">
      <c r="B71" s="35">
        <v>2</v>
      </c>
      <c r="C71" s="36">
        <v>42248</v>
      </c>
      <c r="D71" s="37" t="s">
        <v>2</v>
      </c>
      <c r="E71" s="38">
        <v>70569.157670025001</v>
      </c>
    </row>
    <row r="72" spans="2:5" x14ac:dyDescent="0.4">
      <c r="B72" s="35">
        <v>2</v>
      </c>
      <c r="C72" s="36">
        <v>42339</v>
      </c>
      <c r="D72" s="37" t="s">
        <v>2</v>
      </c>
      <c r="E72" s="38">
        <v>69878.944413775011</v>
      </c>
    </row>
    <row r="73" spans="2:5" x14ac:dyDescent="0.4">
      <c r="B73" s="35">
        <v>2</v>
      </c>
      <c r="C73" s="36">
        <v>42430</v>
      </c>
      <c r="D73" s="37" t="s">
        <v>2</v>
      </c>
      <c r="E73" s="38">
        <v>76794.17690000002</v>
      </c>
    </row>
    <row r="74" spans="2:5" x14ac:dyDescent="0.4">
      <c r="B74" s="35">
        <v>2</v>
      </c>
      <c r="C74" s="36">
        <v>42522</v>
      </c>
      <c r="D74" s="37" t="s">
        <v>2</v>
      </c>
      <c r="E74" s="38">
        <v>76794.180224999989</v>
      </c>
    </row>
    <row r="75" spans="2:5" x14ac:dyDescent="0.4">
      <c r="B75" s="35">
        <v>2</v>
      </c>
      <c r="C75" s="36">
        <v>42614</v>
      </c>
      <c r="D75" s="37" t="s">
        <v>2</v>
      </c>
      <c r="E75" s="38">
        <v>77638.071524999992</v>
      </c>
    </row>
    <row r="76" spans="2:5" x14ac:dyDescent="0.4">
      <c r="B76" s="35">
        <v>2</v>
      </c>
      <c r="C76" s="36">
        <v>42705</v>
      </c>
      <c r="D76" s="37" t="s">
        <v>2</v>
      </c>
      <c r="E76" s="38">
        <v>78503.31360899999</v>
      </c>
    </row>
    <row r="77" spans="2:5" x14ac:dyDescent="0.4">
      <c r="B77" s="35">
        <v>2</v>
      </c>
      <c r="C77" s="36">
        <v>42795</v>
      </c>
      <c r="D77" s="37" t="s">
        <v>2</v>
      </c>
      <c r="E77" s="38">
        <v>76911.004975000018</v>
      </c>
    </row>
    <row r="78" spans="2:5" x14ac:dyDescent="0.4">
      <c r="B78" s="35">
        <v>2</v>
      </c>
      <c r="C78" s="36">
        <v>42887</v>
      </c>
      <c r="D78" s="37" t="s">
        <v>2</v>
      </c>
      <c r="E78" s="38">
        <v>77765.571974999999</v>
      </c>
    </row>
    <row r="79" spans="2:5" x14ac:dyDescent="0.4">
      <c r="B79" s="35">
        <v>2</v>
      </c>
      <c r="C79" s="36">
        <v>42979</v>
      </c>
      <c r="D79" s="37" t="s">
        <v>2</v>
      </c>
      <c r="E79" s="38">
        <v>60593.904875000022</v>
      </c>
    </row>
    <row r="80" spans="2:5" x14ac:dyDescent="0.4">
      <c r="B80" s="35">
        <v>2</v>
      </c>
      <c r="C80" s="36">
        <v>41974</v>
      </c>
      <c r="D80" s="37" t="s">
        <v>15</v>
      </c>
      <c r="E80" s="38">
        <v>56875</v>
      </c>
    </row>
    <row r="81" spans="2:5" x14ac:dyDescent="0.4">
      <c r="B81" s="35">
        <v>2</v>
      </c>
      <c r="C81" s="36">
        <v>42248</v>
      </c>
      <c r="D81" s="37" t="s">
        <v>15</v>
      </c>
      <c r="E81" s="38">
        <v>56875</v>
      </c>
    </row>
    <row r="82" spans="2:5" x14ac:dyDescent="0.4">
      <c r="B82" s="35">
        <v>2</v>
      </c>
      <c r="C82" s="36">
        <v>42430</v>
      </c>
      <c r="D82" s="37" t="s">
        <v>15</v>
      </c>
      <c r="E82" s="38">
        <v>56875</v>
      </c>
    </row>
    <row r="83" spans="2:5" x14ac:dyDescent="0.4">
      <c r="B83" s="35">
        <v>2</v>
      </c>
      <c r="C83" s="36">
        <v>42522</v>
      </c>
      <c r="D83" s="37" t="s">
        <v>15</v>
      </c>
      <c r="E83" s="38">
        <v>56875</v>
      </c>
    </row>
    <row r="84" spans="2:5" x14ac:dyDescent="0.4">
      <c r="B84" s="35">
        <v>2</v>
      </c>
      <c r="C84" s="36">
        <v>42614</v>
      </c>
      <c r="D84" s="37" t="s">
        <v>15</v>
      </c>
      <c r="E84" s="38">
        <v>56875</v>
      </c>
    </row>
    <row r="85" spans="2:5" x14ac:dyDescent="0.4">
      <c r="B85" s="35">
        <v>2</v>
      </c>
      <c r="C85" s="36">
        <v>42705</v>
      </c>
      <c r="D85" s="37" t="s">
        <v>15</v>
      </c>
      <c r="E85" s="38">
        <v>56875</v>
      </c>
    </row>
    <row r="86" spans="2:5" x14ac:dyDescent="0.4">
      <c r="B86" s="35">
        <v>2</v>
      </c>
      <c r="C86" s="36">
        <v>42887</v>
      </c>
      <c r="D86" s="37" t="s">
        <v>15</v>
      </c>
      <c r="E86" s="38">
        <v>56875</v>
      </c>
    </row>
    <row r="87" spans="2:5" x14ac:dyDescent="0.4">
      <c r="B87" s="35">
        <v>2</v>
      </c>
      <c r="C87" s="36">
        <v>42979</v>
      </c>
      <c r="D87" s="37" t="s">
        <v>15</v>
      </c>
      <c r="E87" s="38">
        <v>52500</v>
      </c>
    </row>
    <row r="88" spans="2:5" x14ac:dyDescent="0.4">
      <c r="B88" s="35">
        <v>2</v>
      </c>
      <c r="C88" s="36">
        <v>42156</v>
      </c>
      <c r="D88" s="37" t="s">
        <v>14</v>
      </c>
      <c r="E88" s="38">
        <v>83153</v>
      </c>
    </row>
    <row r="89" spans="2:5" x14ac:dyDescent="0.4">
      <c r="B89" s="35">
        <v>3</v>
      </c>
      <c r="C89" s="36">
        <v>42156</v>
      </c>
      <c r="D89" s="37" t="s">
        <v>1</v>
      </c>
      <c r="E89" s="38">
        <v>55463.002602459019</v>
      </c>
    </row>
    <row r="90" spans="2:5" x14ac:dyDescent="0.4">
      <c r="B90" s="35">
        <v>3</v>
      </c>
      <c r="C90" s="36">
        <v>42248</v>
      </c>
      <c r="D90" s="37" t="s">
        <v>1</v>
      </c>
      <c r="E90" s="38">
        <v>83790.38232240433</v>
      </c>
    </row>
    <row r="91" spans="2:5" x14ac:dyDescent="0.4">
      <c r="B91" s="35">
        <v>3</v>
      </c>
      <c r="C91" s="36">
        <v>42339</v>
      </c>
      <c r="D91" s="37" t="s">
        <v>1</v>
      </c>
      <c r="E91" s="38">
        <v>138332.04898907105</v>
      </c>
    </row>
    <row r="92" spans="2:5" x14ac:dyDescent="0.4">
      <c r="B92" s="35">
        <v>3</v>
      </c>
      <c r="C92" s="36">
        <v>42430</v>
      </c>
      <c r="D92" s="37" t="s">
        <v>1</v>
      </c>
      <c r="E92" s="38">
        <v>136828.43976092897</v>
      </c>
    </row>
    <row r="93" spans="2:5" x14ac:dyDescent="0.4">
      <c r="B93" s="35">
        <v>3</v>
      </c>
      <c r="C93" s="36">
        <v>42522</v>
      </c>
      <c r="D93" s="37" t="s">
        <v>1</v>
      </c>
      <c r="E93" s="38">
        <v>144333.65548637207</v>
      </c>
    </row>
    <row r="94" spans="2:5" x14ac:dyDescent="0.4">
      <c r="B94" s="35">
        <v>3</v>
      </c>
      <c r="C94" s="36">
        <v>42614</v>
      </c>
      <c r="D94" s="37" t="s">
        <v>1</v>
      </c>
      <c r="E94" s="38">
        <v>155307.58322917545</v>
      </c>
    </row>
    <row r="95" spans="2:5" x14ac:dyDescent="0.4">
      <c r="B95" s="35">
        <v>3</v>
      </c>
      <c r="C95" s="36">
        <v>42705</v>
      </c>
      <c r="D95" s="37" t="s">
        <v>1</v>
      </c>
      <c r="E95" s="38">
        <v>159529.46128767129</v>
      </c>
    </row>
    <row r="96" spans="2:5" x14ac:dyDescent="0.4">
      <c r="B96" s="35">
        <v>3</v>
      </c>
      <c r="C96" s="36">
        <v>42795</v>
      </c>
      <c r="D96" s="37" t="s">
        <v>1</v>
      </c>
      <c r="E96" s="38">
        <v>156061.42952054791</v>
      </c>
    </row>
    <row r="97" spans="2:5" x14ac:dyDescent="0.4">
      <c r="B97" s="35">
        <v>3</v>
      </c>
      <c r="C97" s="36">
        <v>42887</v>
      </c>
      <c r="D97" s="37" t="s">
        <v>1</v>
      </c>
      <c r="E97" s="38">
        <v>157795.4454041096</v>
      </c>
    </row>
    <row r="98" spans="2:5" x14ac:dyDescent="0.4">
      <c r="B98" s="35">
        <v>3</v>
      </c>
      <c r="C98" s="36">
        <v>42979</v>
      </c>
      <c r="D98" s="37" t="s">
        <v>1</v>
      </c>
      <c r="E98" s="38">
        <v>256069.11596575327</v>
      </c>
    </row>
    <row r="99" spans="2:5" x14ac:dyDescent="0.4">
      <c r="B99" s="35">
        <v>3</v>
      </c>
      <c r="C99" s="36">
        <v>41883</v>
      </c>
      <c r="D99" s="37" t="s">
        <v>2</v>
      </c>
      <c r="E99" s="38">
        <v>42799.298116438353</v>
      </c>
    </row>
    <row r="100" spans="2:5" x14ac:dyDescent="0.4">
      <c r="B100" s="35">
        <v>3</v>
      </c>
      <c r="C100" s="36">
        <v>41974</v>
      </c>
      <c r="D100" s="37" t="s">
        <v>2</v>
      </c>
      <c r="E100" s="38">
        <v>43226.467123287686</v>
      </c>
    </row>
    <row r="101" spans="2:5" x14ac:dyDescent="0.4">
      <c r="B101" s="35">
        <v>3</v>
      </c>
      <c r="C101" s="36">
        <v>42064</v>
      </c>
      <c r="D101" s="37" t="s">
        <v>2</v>
      </c>
      <c r="E101" s="38">
        <v>42191.445205479453</v>
      </c>
    </row>
    <row r="102" spans="2:5" x14ac:dyDescent="0.4">
      <c r="B102" s="35">
        <v>3</v>
      </c>
      <c r="C102" s="36">
        <v>42156</v>
      </c>
      <c r="D102" s="37" t="s">
        <v>2</v>
      </c>
      <c r="E102" s="38">
        <v>42660.239041095898</v>
      </c>
    </row>
    <row r="103" spans="2:5" x14ac:dyDescent="0.4">
      <c r="B103" s="35">
        <v>3</v>
      </c>
      <c r="C103" s="36">
        <v>42248</v>
      </c>
      <c r="D103" s="37" t="s">
        <v>2</v>
      </c>
      <c r="E103" s="38">
        <v>34690.744347875006</v>
      </c>
    </row>
    <row r="104" spans="2:5" x14ac:dyDescent="0.4">
      <c r="B104" s="35">
        <v>3</v>
      </c>
      <c r="C104" s="36">
        <v>42064</v>
      </c>
      <c r="D104" s="37" t="s">
        <v>16</v>
      </c>
      <c r="E104" s="38">
        <v>3079.8523869415703</v>
      </c>
    </row>
    <row r="105" spans="2:5" x14ac:dyDescent="0.4">
      <c r="B105" s="35">
        <v>3</v>
      </c>
      <c r="C105" s="36">
        <v>42156</v>
      </c>
      <c r="D105" s="37" t="s">
        <v>16</v>
      </c>
      <c r="E105" s="38">
        <v>10293.962554942183</v>
      </c>
    </row>
    <row r="106" spans="2:5" x14ac:dyDescent="0.4">
      <c r="B106" s="35">
        <v>3</v>
      </c>
      <c r="C106" s="36">
        <v>42248</v>
      </c>
      <c r="D106" s="37" t="s">
        <v>16</v>
      </c>
      <c r="E106" s="38">
        <v>10980.96643297718</v>
      </c>
    </row>
    <row r="107" spans="2:5" x14ac:dyDescent="0.4">
      <c r="B107" s="35">
        <v>3</v>
      </c>
      <c r="C107" s="36">
        <v>42339</v>
      </c>
      <c r="D107" s="37" t="s">
        <v>16</v>
      </c>
      <c r="E107" s="38">
        <v>11305.540143888689</v>
      </c>
    </row>
    <row r="108" spans="2:5" x14ac:dyDescent="0.4">
      <c r="B108" s="35">
        <v>3</v>
      </c>
      <c r="C108" s="36">
        <v>42430</v>
      </c>
      <c r="D108" s="37" t="s">
        <v>16</v>
      </c>
      <c r="E108" s="38">
        <v>11175.594970695694</v>
      </c>
    </row>
    <row r="109" spans="2:5" x14ac:dyDescent="0.4">
      <c r="B109" s="35">
        <v>3</v>
      </c>
      <c r="C109" s="36">
        <v>42522</v>
      </c>
      <c r="D109" s="37" t="s">
        <v>16</v>
      </c>
      <c r="E109" s="38">
        <v>11621.606557377047</v>
      </c>
    </row>
    <row r="110" spans="2:5" x14ac:dyDescent="0.4">
      <c r="B110" s="35">
        <v>3</v>
      </c>
      <c r="C110" s="36">
        <v>42614</v>
      </c>
      <c r="D110" s="37" t="s">
        <v>16</v>
      </c>
      <c r="E110" s="38">
        <v>12104.55030536805</v>
      </c>
    </row>
    <row r="111" spans="2:5" x14ac:dyDescent="0.4">
      <c r="B111" s="35">
        <v>3</v>
      </c>
      <c r="C111" s="36">
        <v>42705</v>
      </c>
      <c r="D111" s="37" t="s">
        <v>16</v>
      </c>
      <c r="E111" s="38">
        <v>12104.55030536805</v>
      </c>
    </row>
    <row r="112" spans="2:5" x14ac:dyDescent="0.4">
      <c r="B112" s="35">
        <v>3</v>
      </c>
      <c r="C112" s="36">
        <v>42795</v>
      </c>
      <c r="D112" s="37" t="s">
        <v>16</v>
      </c>
      <c r="E112" s="38">
        <v>11894.437678057977</v>
      </c>
    </row>
    <row r="113" spans="2:5" x14ac:dyDescent="0.4">
      <c r="B113" s="35">
        <v>3</v>
      </c>
      <c r="C113" s="36">
        <v>42887</v>
      </c>
      <c r="D113" s="37" t="s">
        <v>16</v>
      </c>
      <c r="E113" s="38">
        <v>12041.917808219176</v>
      </c>
    </row>
    <row r="114" spans="2:5" x14ac:dyDescent="0.4">
      <c r="B114" s="35">
        <v>3</v>
      </c>
      <c r="C114" s="36">
        <v>42979</v>
      </c>
      <c r="D114" s="37" t="s">
        <v>16</v>
      </c>
      <c r="E114" s="38">
        <v>12174.246575342466</v>
      </c>
    </row>
    <row r="115" spans="2:5" x14ac:dyDescent="0.4">
      <c r="B115" s="35">
        <v>3</v>
      </c>
      <c r="C115" s="36">
        <v>41883</v>
      </c>
      <c r="D115" s="37" t="s">
        <v>15</v>
      </c>
      <c r="E115" s="38">
        <v>46900</v>
      </c>
    </row>
    <row r="116" spans="2:5" x14ac:dyDescent="0.4">
      <c r="B116" s="35">
        <v>3</v>
      </c>
      <c r="C116" s="36">
        <v>41974</v>
      </c>
      <c r="D116" s="37" t="s">
        <v>15</v>
      </c>
      <c r="E116" s="38">
        <v>46900</v>
      </c>
    </row>
    <row r="117" spans="2:5" x14ac:dyDescent="0.4">
      <c r="B117" s="35">
        <v>3</v>
      </c>
      <c r="C117" s="36">
        <v>42064</v>
      </c>
      <c r="D117" s="37" t="s">
        <v>15</v>
      </c>
      <c r="E117" s="38">
        <v>46900</v>
      </c>
    </row>
    <row r="118" spans="2:5" x14ac:dyDescent="0.4">
      <c r="B118" s="35">
        <v>3</v>
      </c>
      <c r="C118" s="36">
        <v>42156</v>
      </c>
      <c r="D118" s="37" t="s">
        <v>15</v>
      </c>
      <c r="E118" s="38">
        <v>46900</v>
      </c>
    </row>
    <row r="119" spans="2:5" x14ac:dyDescent="0.4">
      <c r="B119" s="35">
        <v>3</v>
      </c>
      <c r="C119" s="36">
        <v>42248</v>
      </c>
      <c r="D119" s="37" t="s">
        <v>15</v>
      </c>
      <c r="E119" s="38">
        <v>70350</v>
      </c>
    </row>
    <row r="120" spans="2:5" x14ac:dyDescent="0.4">
      <c r="B120" s="35">
        <v>3</v>
      </c>
      <c r="C120" s="36">
        <v>42339</v>
      </c>
      <c r="D120" s="37" t="s">
        <v>15</v>
      </c>
      <c r="E120" s="38">
        <v>105000</v>
      </c>
    </row>
    <row r="121" spans="2:5" x14ac:dyDescent="0.4">
      <c r="B121" s="35">
        <v>3</v>
      </c>
      <c r="C121" s="36">
        <v>42430</v>
      </c>
      <c r="D121" s="37" t="s">
        <v>15</v>
      </c>
      <c r="E121" s="38">
        <v>52500</v>
      </c>
    </row>
    <row r="122" spans="2:5" x14ac:dyDescent="0.4">
      <c r="B122" s="35">
        <v>3</v>
      </c>
      <c r="C122" s="36">
        <v>42522</v>
      </c>
      <c r="D122" s="37" t="s">
        <v>15</v>
      </c>
      <c r="E122" s="38">
        <v>105000</v>
      </c>
    </row>
    <row r="123" spans="2:5" x14ac:dyDescent="0.4">
      <c r="B123" s="35">
        <v>3</v>
      </c>
      <c r="C123" s="36">
        <v>42614</v>
      </c>
      <c r="D123" s="37" t="s">
        <v>15</v>
      </c>
      <c r="E123" s="38">
        <v>105000</v>
      </c>
    </row>
    <row r="124" spans="2:5" x14ac:dyDescent="0.4">
      <c r="B124" s="35">
        <v>3</v>
      </c>
      <c r="C124" s="36">
        <v>42705</v>
      </c>
      <c r="D124" s="37" t="s">
        <v>15</v>
      </c>
      <c r="E124" s="38">
        <v>105000</v>
      </c>
    </row>
    <row r="125" spans="2:5" x14ac:dyDescent="0.4">
      <c r="B125" s="35">
        <v>3</v>
      </c>
      <c r="C125" s="36">
        <v>42795</v>
      </c>
      <c r="D125" s="37" t="s">
        <v>15</v>
      </c>
      <c r="E125" s="38">
        <v>105000</v>
      </c>
    </row>
    <row r="126" spans="2:5" x14ac:dyDescent="0.4">
      <c r="B126" s="35">
        <v>3</v>
      </c>
      <c r="C126" s="36">
        <v>42887</v>
      </c>
      <c r="D126" s="37" t="s">
        <v>15</v>
      </c>
      <c r="E126" s="38">
        <v>52500</v>
      </c>
    </row>
    <row r="127" spans="2:5" x14ac:dyDescent="0.4">
      <c r="B127" s="35">
        <v>3</v>
      </c>
      <c r="C127" s="36">
        <v>42979</v>
      </c>
      <c r="D127" s="37" t="s">
        <v>15</v>
      </c>
      <c r="E127" s="38">
        <v>52500</v>
      </c>
    </row>
    <row r="128" spans="2:5" x14ac:dyDescent="0.4">
      <c r="B128" s="35">
        <v>3</v>
      </c>
      <c r="C128" s="36">
        <v>41974</v>
      </c>
      <c r="D128" s="37" t="s">
        <v>17</v>
      </c>
      <c r="E128" s="38">
        <v>31860.5</v>
      </c>
    </row>
    <row r="129" spans="2:5" x14ac:dyDescent="0.4">
      <c r="B129" s="35">
        <v>3</v>
      </c>
      <c r="C129" s="36">
        <v>42064</v>
      </c>
      <c r="D129" s="37" t="s">
        <v>17</v>
      </c>
      <c r="E129" s="38">
        <v>841.83749999999998</v>
      </c>
    </row>
    <row r="130" spans="2:5" x14ac:dyDescent="0.4">
      <c r="B130" s="35">
        <v>3</v>
      </c>
      <c r="C130" s="36">
        <v>42156</v>
      </c>
      <c r="D130" s="37" t="s">
        <v>17</v>
      </c>
      <c r="E130" s="38">
        <v>16604.174999999999</v>
      </c>
    </row>
    <row r="131" spans="2:5" x14ac:dyDescent="0.4">
      <c r="B131" s="35">
        <v>3</v>
      </c>
      <c r="C131" s="36">
        <v>42248</v>
      </c>
      <c r="D131" s="37" t="s">
        <v>17</v>
      </c>
      <c r="E131" s="38">
        <v>3751.9824999999996</v>
      </c>
    </row>
    <row r="132" spans="2:5" x14ac:dyDescent="0.4">
      <c r="B132" s="35">
        <v>3</v>
      </c>
      <c r="C132" s="36">
        <v>42339</v>
      </c>
      <c r="D132" s="37" t="s">
        <v>17</v>
      </c>
      <c r="E132" s="38">
        <v>36529.482500000006</v>
      </c>
    </row>
    <row r="133" spans="2:5" x14ac:dyDescent="0.4">
      <c r="B133" s="35">
        <v>3</v>
      </c>
      <c r="C133" s="36">
        <v>42430</v>
      </c>
      <c r="D133" s="37" t="s">
        <v>17</v>
      </c>
      <c r="E133" s="38">
        <v>2406.1624999999995</v>
      </c>
    </row>
    <row r="134" spans="2:5" x14ac:dyDescent="0.4">
      <c r="B134" s="35">
        <v>3</v>
      </c>
      <c r="C134" s="36">
        <v>42522</v>
      </c>
      <c r="D134" s="37" t="s">
        <v>17</v>
      </c>
      <c r="E134" s="38">
        <v>-32777.5</v>
      </c>
    </row>
    <row r="135" spans="2:5" x14ac:dyDescent="0.4">
      <c r="B135" s="35">
        <v>3</v>
      </c>
      <c r="C135" s="36">
        <v>42705</v>
      </c>
      <c r="D135" s="37" t="s">
        <v>17</v>
      </c>
      <c r="E135" s="38">
        <v>840</v>
      </c>
    </row>
    <row r="136" spans="2:5" x14ac:dyDescent="0.4">
      <c r="B136" s="35">
        <v>4</v>
      </c>
      <c r="C136" s="36">
        <v>42705</v>
      </c>
      <c r="D136" s="37" t="s">
        <v>1</v>
      </c>
      <c r="E136" s="38">
        <v>163983.64781211206</v>
      </c>
    </row>
    <row r="137" spans="2:5" x14ac:dyDescent="0.4">
      <c r="B137" s="35">
        <v>4</v>
      </c>
      <c r="C137" s="36">
        <v>42795</v>
      </c>
      <c r="D137" s="37" t="s">
        <v>1</v>
      </c>
      <c r="E137" s="38">
        <v>145726.08436431387</v>
      </c>
    </row>
    <row r="138" spans="2:5" x14ac:dyDescent="0.4">
      <c r="B138" s="35">
        <v>4</v>
      </c>
      <c r="C138" s="36">
        <v>42887</v>
      </c>
      <c r="D138" s="37" t="s">
        <v>1</v>
      </c>
      <c r="E138" s="38">
        <v>145395.25948505988</v>
      </c>
    </row>
    <row r="139" spans="2:5" x14ac:dyDescent="0.4">
      <c r="B139" s="35">
        <v>4</v>
      </c>
      <c r="C139" s="36">
        <v>42979</v>
      </c>
      <c r="D139" s="37" t="s">
        <v>1</v>
      </c>
      <c r="E139" s="38">
        <v>142047.65217413064</v>
      </c>
    </row>
    <row r="140" spans="2:5" x14ac:dyDescent="0.4">
      <c r="B140" s="35">
        <v>4</v>
      </c>
      <c r="C140" s="36">
        <v>42614</v>
      </c>
      <c r="D140" s="37" t="s">
        <v>15</v>
      </c>
      <c r="E140" s="38">
        <v>23537.5</v>
      </c>
    </row>
    <row r="141" spans="2:5" x14ac:dyDescent="0.4">
      <c r="B141" s="35">
        <v>5</v>
      </c>
      <c r="C141" s="36">
        <v>42705</v>
      </c>
      <c r="D141" s="37" t="s">
        <v>1</v>
      </c>
      <c r="E141" s="38">
        <v>3236.301369863012</v>
      </c>
    </row>
    <row r="142" spans="2:5" x14ac:dyDescent="0.4">
      <c r="B142" s="35">
        <v>5</v>
      </c>
      <c r="C142" s="36">
        <v>42795</v>
      </c>
      <c r="D142" s="37" t="s">
        <v>1</v>
      </c>
      <c r="E142" s="38">
        <v>10787.671232876715</v>
      </c>
    </row>
    <row r="143" spans="2:5" x14ac:dyDescent="0.4">
      <c r="B143" s="35">
        <v>5</v>
      </c>
      <c r="C143" s="36">
        <v>42887</v>
      </c>
      <c r="D143" s="37" t="s">
        <v>1</v>
      </c>
      <c r="E143" s="38">
        <v>24907.534246575346</v>
      </c>
    </row>
    <row r="144" spans="2:5" x14ac:dyDescent="0.4">
      <c r="B144" s="35">
        <v>5</v>
      </c>
      <c r="C144" s="36">
        <v>42979</v>
      </c>
      <c r="D144" s="37" t="s">
        <v>1</v>
      </c>
      <c r="E144" s="38">
        <v>14527.397260273976</v>
      </c>
    </row>
    <row r="145" spans="2:5" x14ac:dyDescent="0.4">
      <c r="B145" s="35">
        <v>5</v>
      </c>
      <c r="C145" s="36">
        <v>41883</v>
      </c>
      <c r="D145" s="37" t="s">
        <v>2</v>
      </c>
      <c r="E145" s="38">
        <v>123391.53826712325</v>
      </c>
    </row>
    <row r="146" spans="2:5" x14ac:dyDescent="0.4">
      <c r="B146" s="35">
        <v>5</v>
      </c>
      <c r="C146" s="36">
        <v>41974</v>
      </c>
      <c r="D146" s="37" t="s">
        <v>2</v>
      </c>
      <c r="E146" s="38">
        <v>123381.80745205472</v>
      </c>
    </row>
    <row r="147" spans="2:5" x14ac:dyDescent="0.4">
      <c r="B147" s="35">
        <v>5</v>
      </c>
      <c r="C147" s="36">
        <v>42064</v>
      </c>
      <c r="D147" s="37" t="s">
        <v>2</v>
      </c>
      <c r="E147" s="38">
        <v>120699.59424657538</v>
      </c>
    </row>
    <row r="148" spans="2:5" x14ac:dyDescent="0.4">
      <c r="B148" s="35">
        <v>5</v>
      </c>
      <c r="C148" s="36">
        <v>42156</v>
      </c>
      <c r="D148" s="37" t="s">
        <v>2</v>
      </c>
      <c r="E148" s="38">
        <v>120699.59424657508</v>
      </c>
    </row>
    <row r="149" spans="2:5" x14ac:dyDescent="0.4">
      <c r="B149" s="35">
        <v>5</v>
      </c>
      <c r="C149" s="36">
        <v>42248</v>
      </c>
      <c r="D149" s="37" t="s">
        <v>2</v>
      </c>
      <c r="E149" s="38">
        <v>127315.35127654002</v>
      </c>
    </row>
    <row r="150" spans="2:5" x14ac:dyDescent="0.4">
      <c r="B150" s="35">
        <v>5</v>
      </c>
      <c r="C150" s="36">
        <v>42339</v>
      </c>
      <c r="D150" s="37" t="s">
        <v>2</v>
      </c>
      <c r="E150" s="38">
        <v>127315.35127654005</v>
      </c>
    </row>
    <row r="151" spans="2:5" x14ac:dyDescent="0.4">
      <c r="B151" s="35">
        <v>5</v>
      </c>
      <c r="C151" s="36">
        <v>42430</v>
      </c>
      <c r="D151" s="37" t="s">
        <v>2</v>
      </c>
      <c r="E151" s="38">
        <v>125931.48146950021</v>
      </c>
    </row>
    <row r="152" spans="2:5" x14ac:dyDescent="0.4">
      <c r="B152" s="35">
        <v>5</v>
      </c>
      <c r="C152" s="36">
        <v>42522</v>
      </c>
      <c r="D152" s="37" t="s">
        <v>2</v>
      </c>
      <c r="E152" s="38">
        <v>127319.1372004998</v>
      </c>
    </row>
    <row r="153" spans="2:5" x14ac:dyDescent="0.4">
      <c r="B153" s="35">
        <v>5</v>
      </c>
      <c r="C153" s="36">
        <v>42614</v>
      </c>
      <c r="D153" s="37" t="s">
        <v>2</v>
      </c>
      <c r="E153" s="38">
        <v>127664.17642125004</v>
      </c>
    </row>
    <row r="154" spans="2:5" x14ac:dyDescent="0.4">
      <c r="B154" s="35">
        <v>5</v>
      </c>
      <c r="C154" s="36">
        <v>42705</v>
      </c>
      <c r="D154" s="37" t="s">
        <v>2</v>
      </c>
      <c r="E154" s="38">
        <v>127664.17642124993</v>
      </c>
    </row>
    <row r="155" spans="2:5" x14ac:dyDescent="0.4">
      <c r="B155" s="35">
        <v>5</v>
      </c>
      <c r="C155" s="36">
        <v>42795</v>
      </c>
      <c r="D155" s="37" t="s">
        <v>2</v>
      </c>
      <c r="E155" s="38">
        <v>124888.86910849993</v>
      </c>
    </row>
    <row r="156" spans="2:5" x14ac:dyDescent="0.4">
      <c r="B156" s="35">
        <v>5</v>
      </c>
      <c r="C156" s="36">
        <v>42887</v>
      </c>
      <c r="D156" s="37" t="s">
        <v>2</v>
      </c>
      <c r="E156" s="38">
        <v>126272.67674875009</v>
      </c>
    </row>
    <row r="157" spans="2:5" x14ac:dyDescent="0.4">
      <c r="B157" s="35">
        <v>5</v>
      </c>
      <c r="C157" s="36">
        <v>42979</v>
      </c>
      <c r="D157" s="37" t="s">
        <v>2</v>
      </c>
      <c r="E157" s="38">
        <v>127310.29532374998</v>
      </c>
    </row>
    <row r="158" spans="2:5" x14ac:dyDescent="0.4">
      <c r="B158" s="35">
        <v>5</v>
      </c>
      <c r="C158" s="36">
        <v>41883</v>
      </c>
      <c r="D158" s="37" t="s">
        <v>1</v>
      </c>
      <c r="E158" s="38">
        <v>134437.09239130432</v>
      </c>
    </row>
    <row r="159" spans="2:5" x14ac:dyDescent="0.4">
      <c r="B159" s="35">
        <v>5</v>
      </c>
      <c r="C159" s="36">
        <v>41974</v>
      </c>
      <c r="D159" s="37" t="s">
        <v>1</v>
      </c>
      <c r="E159" s="38">
        <v>134137.49999999994</v>
      </c>
    </row>
    <row r="160" spans="2:5" x14ac:dyDescent="0.4">
      <c r="B160" s="35">
        <v>5</v>
      </c>
      <c r="C160" s="36">
        <v>42064</v>
      </c>
      <c r="D160" s="37" t="s">
        <v>1</v>
      </c>
      <c r="E160" s="38">
        <v>133327.49094202899</v>
      </c>
    </row>
    <row r="161" spans="2:5" x14ac:dyDescent="0.4">
      <c r="B161" s="35">
        <v>5</v>
      </c>
      <c r="C161" s="36">
        <v>42156</v>
      </c>
      <c r="D161" s="37" t="s">
        <v>1</v>
      </c>
      <c r="E161" s="38">
        <v>134546.9551282051</v>
      </c>
    </row>
    <row r="162" spans="2:5" x14ac:dyDescent="0.4">
      <c r="B162" s="35">
        <v>5</v>
      </c>
      <c r="C162" s="36">
        <v>42248</v>
      </c>
      <c r="D162" s="37" t="s">
        <v>1</v>
      </c>
      <c r="E162" s="38">
        <v>134538.05392976591</v>
      </c>
    </row>
    <row r="163" spans="2:5" x14ac:dyDescent="0.4">
      <c r="B163" s="35">
        <v>5</v>
      </c>
      <c r="C163" s="36">
        <v>42339</v>
      </c>
      <c r="D163" s="37" t="s">
        <v>1</v>
      </c>
      <c r="E163" s="38">
        <v>134137.5</v>
      </c>
    </row>
    <row r="164" spans="2:5" x14ac:dyDescent="0.4">
      <c r="B164" s="35">
        <v>5</v>
      </c>
      <c r="C164" s="36">
        <v>42430</v>
      </c>
      <c r="D164" s="37" t="s">
        <v>1</v>
      </c>
      <c r="E164" s="38">
        <v>133736.94607023409</v>
      </c>
    </row>
    <row r="165" spans="2:5" x14ac:dyDescent="0.4">
      <c r="B165" s="35">
        <v>5</v>
      </c>
      <c r="C165" s="36">
        <v>42522</v>
      </c>
      <c r="D165" s="37" t="s">
        <v>1</v>
      </c>
      <c r="E165" s="38">
        <v>134137.5</v>
      </c>
    </row>
    <row r="166" spans="2:5" x14ac:dyDescent="0.4">
      <c r="B166" s="35">
        <v>5</v>
      </c>
      <c r="C166" s="36">
        <v>42614</v>
      </c>
      <c r="D166" s="37" t="s">
        <v>1</v>
      </c>
      <c r="E166" s="38">
        <v>134538.05392976591</v>
      </c>
    </row>
    <row r="167" spans="2:5" x14ac:dyDescent="0.4">
      <c r="B167" s="35">
        <v>5</v>
      </c>
      <c r="C167" s="36">
        <v>42705</v>
      </c>
      <c r="D167" s="37" t="s">
        <v>1</v>
      </c>
      <c r="E167" s="38">
        <v>134137.5</v>
      </c>
    </row>
    <row r="168" spans="2:5" x14ac:dyDescent="0.4">
      <c r="B168" s="35">
        <v>5</v>
      </c>
      <c r="C168" s="36">
        <v>42795</v>
      </c>
      <c r="D168" s="37" t="s">
        <v>1</v>
      </c>
      <c r="E168" s="38">
        <v>133327.49094202899</v>
      </c>
    </row>
    <row r="169" spans="2:5" x14ac:dyDescent="0.4">
      <c r="B169" s="35">
        <v>5</v>
      </c>
      <c r="C169" s="36">
        <v>42887</v>
      </c>
      <c r="D169" s="37" t="s">
        <v>1</v>
      </c>
      <c r="E169" s="38">
        <v>134546.9551282051</v>
      </c>
    </row>
    <row r="170" spans="2:5" x14ac:dyDescent="0.4">
      <c r="B170" s="35">
        <v>5</v>
      </c>
      <c r="C170" s="36">
        <v>42979</v>
      </c>
      <c r="D170" s="37" t="s">
        <v>1</v>
      </c>
      <c r="E170" s="38">
        <v>134538.05392976591</v>
      </c>
    </row>
    <row r="171" spans="2:5" x14ac:dyDescent="0.4">
      <c r="B171" s="35">
        <v>5</v>
      </c>
      <c r="C171" s="36">
        <v>41883</v>
      </c>
      <c r="D171" s="37" t="s">
        <v>15</v>
      </c>
      <c r="E171" s="38">
        <v>23450</v>
      </c>
    </row>
    <row r="172" spans="2:5" x14ac:dyDescent="0.4">
      <c r="B172" s="35">
        <v>5</v>
      </c>
      <c r="C172" s="36">
        <v>42248</v>
      </c>
      <c r="D172" s="37" t="s">
        <v>15</v>
      </c>
      <c r="E172" s="38">
        <v>23450</v>
      </c>
    </row>
    <row r="173" spans="2:5" x14ac:dyDescent="0.4">
      <c r="B173" s="35">
        <v>5</v>
      </c>
      <c r="C173" s="36">
        <v>42522</v>
      </c>
      <c r="D173" s="37" t="s">
        <v>15</v>
      </c>
      <c r="E173" s="38">
        <v>23450</v>
      </c>
    </row>
    <row r="174" spans="2:5" x14ac:dyDescent="0.4">
      <c r="B174" s="35">
        <v>5</v>
      </c>
      <c r="C174" s="36">
        <v>42795</v>
      </c>
      <c r="D174" s="37" t="s">
        <v>15</v>
      </c>
      <c r="E174" s="38">
        <v>23450</v>
      </c>
    </row>
    <row r="175" spans="2:5" x14ac:dyDescent="0.4">
      <c r="B175" s="35">
        <v>7</v>
      </c>
      <c r="C175" s="36">
        <v>42887</v>
      </c>
      <c r="D175" s="37" t="s">
        <v>1</v>
      </c>
      <c r="E175" s="38">
        <v>6333.0821917808498</v>
      </c>
    </row>
    <row r="176" spans="2:5" x14ac:dyDescent="0.4">
      <c r="B176" s="35">
        <v>7</v>
      </c>
      <c r="C176" s="36">
        <v>42979</v>
      </c>
      <c r="D176" s="37" t="s">
        <v>1</v>
      </c>
      <c r="E176" s="38">
        <v>86937.123287671217</v>
      </c>
    </row>
    <row r="177" spans="2:5" x14ac:dyDescent="0.4">
      <c r="B177" s="35">
        <v>7</v>
      </c>
      <c r="C177" s="36">
        <v>41883</v>
      </c>
      <c r="D177" s="37" t="s">
        <v>2</v>
      </c>
      <c r="E177" s="38">
        <v>42916.865753424645</v>
      </c>
    </row>
    <row r="178" spans="2:5" x14ac:dyDescent="0.4">
      <c r="B178" s="35">
        <v>7</v>
      </c>
      <c r="C178" s="36">
        <v>41974</v>
      </c>
      <c r="D178" s="37" t="s">
        <v>2</v>
      </c>
      <c r="E178" s="38">
        <v>42916.865753424659</v>
      </c>
    </row>
    <row r="179" spans="2:5" x14ac:dyDescent="0.4">
      <c r="B179" s="35">
        <v>7</v>
      </c>
      <c r="C179" s="36">
        <v>42064</v>
      </c>
      <c r="D179" s="37" t="s">
        <v>2</v>
      </c>
      <c r="E179" s="38">
        <v>41983.890410958906</v>
      </c>
    </row>
    <row r="180" spans="2:5" x14ac:dyDescent="0.4">
      <c r="B180" s="35">
        <v>7</v>
      </c>
      <c r="C180" s="36">
        <v>42156</v>
      </c>
      <c r="D180" s="37" t="s">
        <v>2</v>
      </c>
      <c r="E180" s="38">
        <v>42934.072265888171</v>
      </c>
    </row>
    <row r="181" spans="2:5" x14ac:dyDescent="0.4">
      <c r="B181" s="35">
        <v>7</v>
      </c>
      <c r="C181" s="36">
        <v>42248</v>
      </c>
      <c r="D181" s="37" t="s">
        <v>2</v>
      </c>
      <c r="E181" s="38">
        <v>47079.567214067494</v>
      </c>
    </row>
    <row r="182" spans="2:5" x14ac:dyDescent="0.4">
      <c r="B182" s="35">
        <v>7</v>
      </c>
      <c r="C182" s="36">
        <v>42339</v>
      </c>
      <c r="D182" s="37" t="s">
        <v>2</v>
      </c>
      <c r="E182" s="38">
        <v>47079.567214067494</v>
      </c>
    </row>
    <row r="183" spans="2:5" x14ac:dyDescent="0.4">
      <c r="B183" s="35">
        <v>7</v>
      </c>
      <c r="C183" s="36">
        <v>42430</v>
      </c>
      <c r="D183" s="37" t="s">
        <v>2</v>
      </c>
      <c r="E183" s="38">
        <v>46567.8309075</v>
      </c>
    </row>
    <row r="184" spans="2:5" x14ac:dyDescent="0.4">
      <c r="B184" s="35">
        <v>7</v>
      </c>
      <c r="C184" s="36">
        <v>42522</v>
      </c>
      <c r="D184" s="37" t="s">
        <v>2</v>
      </c>
      <c r="E184" s="38">
        <v>46597.276249999995</v>
      </c>
    </row>
    <row r="185" spans="2:5" x14ac:dyDescent="0.4">
      <c r="B185" s="35">
        <v>7</v>
      </c>
      <c r="C185" s="36">
        <v>42614</v>
      </c>
      <c r="D185" s="37" t="s">
        <v>2</v>
      </c>
      <c r="E185" s="38">
        <v>47208.554294999987</v>
      </c>
    </row>
    <row r="186" spans="2:5" x14ac:dyDescent="0.4">
      <c r="B186" s="35">
        <v>7</v>
      </c>
      <c r="C186" s="36">
        <v>42705</v>
      </c>
      <c r="D186" s="37" t="s">
        <v>2</v>
      </c>
      <c r="E186" s="38">
        <v>47208.554294999994</v>
      </c>
    </row>
    <row r="187" spans="2:5" x14ac:dyDescent="0.4">
      <c r="B187" s="35">
        <v>7</v>
      </c>
      <c r="C187" s="36">
        <v>42795</v>
      </c>
      <c r="D187" s="37" t="s">
        <v>2</v>
      </c>
      <c r="E187" s="38">
        <v>46182.279850000006</v>
      </c>
    </row>
    <row r="188" spans="2:5" x14ac:dyDescent="0.4">
      <c r="B188" s="35">
        <v>7</v>
      </c>
      <c r="C188" s="36">
        <v>42887</v>
      </c>
      <c r="D188" s="37" t="s">
        <v>2</v>
      </c>
      <c r="E188" s="38">
        <v>35919.551937499993</v>
      </c>
    </row>
    <row r="189" spans="2:5" x14ac:dyDescent="0.4">
      <c r="B189" s="35">
        <v>7</v>
      </c>
      <c r="C189" s="36">
        <v>42156</v>
      </c>
      <c r="D189" s="37" t="s">
        <v>16</v>
      </c>
      <c r="E189" s="38">
        <v>1861.5983606557393</v>
      </c>
    </row>
    <row r="190" spans="2:5" x14ac:dyDescent="0.4">
      <c r="B190" s="35">
        <v>7</v>
      </c>
      <c r="C190" s="36">
        <v>42248</v>
      </c>
      <c r="D190" s="37" t="s">
        <v>16</v>
      </c>
      <c r="E190" s="38">
        <v>8155.5737704918029</v>
      </c>
    </row>
    <row r="191" spans="2:5" x14ac:dyDescent="0.4">
      <c r="B191" s="35">
        <v>7</v>
      </c>
      <c r="C191" s="36">
        <v>42339</v>
      </c>
      <c r="D191" s="37" t="s">
        <v>16</v>
      </c>
      <c r="E191" s="38">
        <v>8155.5737704918029</v>
      </c>
    </row>
    <row r="192" spans="2:5" x14ac:dyDescent="0.4">
      <c r="B192" s="35">
        <v>7</v>
      </c>
      <c r="C192" s="36">
        <v>42430</v>
      </c>
      <c r="D192" s="37" t="s">
        <v>16</v>
      </c>
      <c r="E192" s="38">
        <v>9954.9020525715841</v>
      </c>
    </row>
    <row r="193" spans="2:5" x14ac:dyDescent="0.4">
      <c r="B193" s="35">
        <v>7</v>
      </c>
      <c r="C193" s="36">
        <v>42522</v>
      </c>
      <c r="D193" s="37" t="s">
        <v>16</v>
      </c>
      <c r="E193" s="38">
        <v>9413.7455121695511</v>
      </c>
    </row>
    <row r="194" spans="2:5" x14ac:dyDescent="0.4">
      <c r="B194" s="35">
        <v>7</v>
      </c>
      <c r="C194" s="36">
        <v>42614</v>
      </c>
      <c r="D194" s="37" t="s">
        <v>16</v>
      </c>
      <c r="E194" s="38">
        <v>9540.9041095890389</v>
      </c>
    </row>
    <row r="195" spans="2:5" x14ac:dyDescent="0.4">
      <c r="B195" s="35">
        <v>7</v>
      </c>
      <c r="C195" s="36">
        <v>42705</v>
      </c>
      <c r="D195" s="37" t="s">
        <v>16</v>
      </c>
      <c r="E195" s="38">
        <v>9540.9041095890425</v>
      </c>
    </row>
    <row r="196" spans="2:5" x14ac:dyDescent="0.4">
      <c r="B196" s="35">
        <v>7</v>
      </c>
      <c r="C196" s="36">
        <v>42795</v>
      </c>
      <c r="D196" s="37" t="s">
        <v>16</v>
      </c>
      <c r="E196" s="38">
        <v>9333.4931506849298</v>
      </c>
    </row>
    <row r="197" spans="2:5" x14ac:dyDescent="0.4">
      <c r="B197" s="35">
        <v>7</v>
      </c>
      <c r="C197" s="36">
        <v>42887</v>
      </c>
      <c r="D197" s="37" t="s">
        <v>16</v>
      </c>
      <c r="E197" s="38">
        <v>10649.565068493157</v>
      </c>
    </row>
    <row r="198" spans="2:5" x14ac:dyDescent="0.4">
      <c r="B198" s="35">
        <v>7</v>
      </c>
      <c r="C198" s="36">
        <v>42979</v>
      </c>
      <c r="D198" s="37" t="s">
        <v>16</v>
      </c>
      <c r="E198" s="38">
        <v>10903.890410958902</v>
      </c>
    </row>
    <row r="199" spans="2:5" x14ac:dyDescent="0.4">
      <c r="B199" s="35">
        <v>7</v>
      </c>
      <c r="C199" s="36">
        <v>41883</v>
      </c>
      <c r="D199" s="37" t="s">
        <v>15</v>
      </c>
      <c r="E199" s="38">
        <v>13300</v>
      </c>
    </row>
    <row r="200" spans="2:5" x14ac:dyDescent="0.4">
      <c r="B200" s="35">
        <v>7</v>
      </c>
      <c r="C200" s="36">
        <v>42156</v>
      </c>
      <c r="D200" s="37" t="s">
        <v>15</v>
      </c>
      <c r="E200" s="38">
        <v>13300</v>
      </c>
    </row>
    <row r="201" spans="2:5" x14ac:dyDescent="0.4">
      <c r="B201" s="35">
        <v>7</v>
      </c>
      <c r="C201" s="36">
        <v>42339</v>
      </c>
      <c r="D201" s="37" t="s">
        <v>15</v>
      </c>
      <c r="E201" s="38">
        <v>13300</v>
      </c>
    </row>
    <row r="202" spans="2:5" x14ac:dyDescent="0.4">
      <c r="B202" s="35">
        <v>7</v>
      </c>
      <c r="C202" s="36">
        <v>42522</v>
      </c>
      <c r="D202" s="37" t="s">
        <v>15</v>
      </c>
      <c r="E202" s="38">
        <v>13300</v>
      </c>
    </row>
    <row r="203" spans="2:5" x14ac:dyDescent="0.4">
      <c r="B203" s="35">
        <v>7</v>
      </c>
      <c r="C203" s="36">
        <v>42614</v>
      </c>
      <c r="D203" s="37" t="s">
        <v>15</v>
      </c>
      <c r="E203" s="38">
        <v>13300</v>
      </c>
    </row>
    <row r="204" spans="2:5" x14ac:dyDescent="0.4">
      <c r="B204" s="35">
        <v>7</v>
      </c>
      <c r="C204" s="36">
        <v>42705</v>
      </c>
      <c r="D204" s="37" t="s">
        <v>15</v>
      </c>
      <c r="E204" s="38">
        <v>13300</v>
      </c>
    </row>
    <row r="205" spans="2:5" x14ac:dyDescent="0.4">
      <c r="B205" s="35">
        <v>7</v>
      </c>
      <c r="C205" s="36">
        <v>42795</v>
      </c>
      <c r="D205" s="37" t="s">
        <v>15</v>
      </c>
      <c r="E205" s="38">
        <v>13300</v>
      </c>
    </row>
    <row r="206" spans="2:5" x14ac:dyDescent="0.4">
      <c r="B206" s="35">
        <v>7</v>
      </c>
      <c r="C206" s="36">
        <v>42887</v>
      </c>
      <c r="D206" s="37" t="s">
        <v>15</v>
      </c>
      <c r="E206" s="38">
        <v>13300</v>
      </c>
    </row>
    <row r="207" spans="2:5" x14ac:dyDescent="0.4">
      <c r="B207" s="35">
        <v>7</v>
      </c>
      <c r="C207" s="36">
        <v>42979</v>
      </c>
      <c r="D207" s="37" t="s">
        <v>15</v>
      </c>
      <c r="E207" s="38">
        <v>25550</v>
      </c>
    </row>
    <row r="208" spans="2:5" x14ac:dyDescent="0.4">
      <c r="B208" s="35">
        <v>8</v>
      </c>
      <c r="C208" s="36">
        <v>42614</v>
      </c>
      <c r="D208" s="37" t="s">
        <v>1</v>
      </c>
      <c r="E208" s="38">
        <v>15821.408445393998</v>
      </c>
    </row>
    <row r="209" spans="2:5" x14ac:dyDescent="0.4">
      <c r="B209" s="35">
        <v>8</v>
      </c>
      <c r="C209" s="36">
        <v>42705</v>
      </c>
      <c r="D209" s="37" t="s">
        <v>1</v>
      </c>
      <c r="E209" s="38">
        <v>55951.515168689912</v>
      </c>
    </row>
    <row r="210" spans="2:5" x14ac:dyDescent="0.4">
      <c r="B210" s="35">
        <v>8</v>
      </c>
      <c r="C210" s="36">
        <v>42795</v>
      </c>
      <c r="D210" s="37" t="s">
        <v>1</v>
      </c>
      <c r="E210" s="38">
        <v>61393.601697561397</v>
      </c>
    </row>
    <row r="211" spans="2:5" x14ac:dyDescent="0.4">
      <c r="B211" s="35">
        <v>8</v>
      </c>
      <c r="C211" s="36">
        <v>42887</v>
      </c>
      <c r="D211" s="37" t="s">
        <v>1</v>
      </c>
      <c r="E211" s="38">
        <v>65165.549023186482</v>
      </c>
    </row>
    <row r="212" spans="2:5" x14ac:dyDescent="0.4">
      <c r="B212" s="35">
        <v>8</v>
      </c>
      <c r="C212" s="36">
        <v>42979</v>
      </c>
      <c r="D212" s="37" t="s">
        <v>1</v>
      </c>
      <c r="E212" s="38">
        <v>67692.425665168208</v>
      </c>
    </row>
    <row r="213" spans="2:5" x14ac:dyDescent="0.4">
      <c r="B213" s="35">
        <v>8</v>
      </c>
      <c r="C213" s="36">
        <v>41883</v>
      </c>
      <c r="D213" s="37" t="s">
        <v>2</v>
      </c>
      <c r="E213" s="38">
        <v>11090.157534246573</v>
      </c>
    </row>
    <row r="214" spans="2:5" x14ac:dyDescent="0.4">
      <c r="B214" s="35">
        <v>8</v>
      </c>
      <c r="C214" s="36">
        <v>41974</v>
      </c>
      <c r="D214" s="37" t="s">
        <v>2</v>
      </c>
      <c r="E214" s="38">
        <v>16370.391780821918</v>
      </c>
    </row>
    <row r="215" spans="2:5" x14ac:dyDescent="0.4">
      <c r="B215" s="35">
        <v>8</v>
      </c>
      <c r="C215" s="36">
        <v>42064</v>
      </c>
      <c r="D215" s="37" t="s">
        <v>2</v>
      </c>
      <c r="E215" s="38">
        <v>16014.513698630137</v>
      </c>
    </row>
    <row r="216" spans="2:5" x14ac:dyDescent="0.4">
      <c r="B216" s="35">
        <v>8</v>
      </c>
      <c r="C216" s="36">
        <v>42156</v>
      </c>
      <c r="D216" s="37" t="s">
        <v>2</v>
      </c>
      <c r="E216" s="38">
        <v>16192.452739726024</v>
      </c>
    </row>
    <row r="217" spans="2:5" x14ac:dyDescent="0.4">
      <c r="B217" s="35">
        <v>8</v>
      </c>
      <c r="C217" s="36">
        <v>42248</v>
      </c>
      <c r="D217" s="37" t="s">
        <v>2</v>
      </c>
      <c r="E217" s="38">
        <v>16370.39149088</v>
      </c>
    </row>
    <row r="218" spans="2:5" x14ac:dyDescent="0.4">
      <c r="B218" s="35">
        <v>8</v>
      </c>
      <c r="C218" s="36">
        <v>42339</v>
      </c>
      <c r="D218" s="37" t="s">
        <v>2</v>
      </c>
      <c r="E218" s="38">
        <v>16370.39149088</v>
      </c>
    </row>
    <row r="219" spans="2:5" x14ac:dyDescent="0.4">
      <c r="B219" s="35">
        <v>8</v>
      </c>
      <c r="C219" s="36">
        <v>42430</v>
      </c>
      <c r="D219" s="37" t="s">
        <v>2</v>
      </c>
      <c r="E219" s="38">
        <v>16218.849226999999</v>
      </c>
    </row>
    <row r="220" spans="2:5" x14ac:dyDescent="0.4">
      <c r="B220" s="35">
        <v>8</v>
      </c>
      <c r="C220" s="36">
        <v>42522</v>
      </c>
      <c r="D220" s="37" t="s">
        <v>2</v>
      </c>
      <c r="E220" s="38">
        <v>16236.9392675</v>
      </c>
    </row>
    <row r="221" spans="2:5" x14ac:dyDescent="0.4">
      <c r="B221" s="35">
        <v>8</v>
      </c>
      <c r="C221" s="36">
        <v>42614</v>
      </c>
      <c r="D221" s="37" t="s">
        <v>2</v>
      </c>
      <c r="E221" s="38">
        <v>12011.973550499997</v>
      </c>
    </row>
    <row r="222" spans="2:5" x14ac:dyDescent="0.4">
      <c r="B222" s="35">
        <v>8</v>
      </c>
      <c r="C222" s="36">
        <v>42156</v>
      </c>
      <c r="D222" s="37" t="s">
        <v>16</v>
      </c>
      <c r="E222" s="38">
        <v>1243.2172131147536</v>
      </c>
    </row>
    <row r="223" spans="2:5" x14ac:dyDescent="0.4">
      <c r="B223" s="35">
        <v>8</v>
      </c>
      <c r="C223" s="36">
        <v>42248</v>
      </c>
      <c r="D223" s="37" t="s">
        <v>16</v>
      </c>
      <c r="E223" s="38">
        <v>4408.6034118596654</v>
      </c>
    </row>
    <row r="224" spans="2:5" x14ac:dyDescent="0.4">
      <c r="B224" s="35">
        <v>8</v>
      </c>
      <c r="C224" s="36">
        <v>42339</v>
      </c>
      <c r="D224" s="37" t="s">
        <v>16</v>
      </c>
      <c r="E224" s="38">
        <v>4878.1605528669934</v>
      </c>
    </row>
    <row r="225" spans="2:5" x14ac:dyDescent="0.4">
      <c r="B225" s="35">
        <v>8</v>
      </c>
      <c r="C225" s="36">
        <v>42430</v>
      </c>
      <c r="D225" s="37" t="s">
        <v>16</v>
      </c>
      <c r="E225" s="38">
        <v>4866.2771472027844</v>
      </c>
    </row>
    <row r="226" spans="2:5" x14ac:dyDescent="0.4">
      <c r="B226" s="35">
        <v>8</v>
      </c>
      <c r="C226" s="36">
        <v>42522</v>
      </c>
      <c r="D226" s="37" t="s">
        <v>16</v>
      </c>
      <c r="E226" s="38">
        <v>4836.0531133119657</v>
      </c>
    </row>
    <row r="227" spans="2:5" x14ac:dyDescent="0.4">
      <c r="B227" s="35">
        <v>8</v>
      </c>
      <c r="C227" s="36">
        <v>42614</v>
      </c>
      <c r="D227" s="37" t="s">
        <v>16</v>
      </c>
      <c r="E227" s="38">
        <v>4816.7671232876728</v>
      </c>
    </row>
    <row r="228" spans="2:5" x14ac:dyDescent="0.4">
      <c r="B228" s="35">
        <v>8</v>
      </c>
      <c r="C228" s="36">
        <v>42705</v>
      </c>
      <c r="D228" s="37" t="s">
        <v>16</v>
      </c>
      <c r="E228" s="38">
        <v>5078.1775006461612</v>
      </c>
    </row>
    <row r="229" spans="2:5" x14ac:dyDescent="0.4">
      <c r="B229" s="35">
        <v>8</v>
      </c>
      <c r="C229" s="36">
        <v>42795</v>
      </c>
      <c r="D229" s="37" t="s">
        <v>16</v>
      </c>
      <c r="E229" s="38">
        <v>5117.6915869733784</v>
      </c>
    </row>
    <row r="230" spans="2:5" x14ac:dyDescent="0.4">
      <c r="B230" s="35">
        <v>8</v>
      </c>
      <c r="C230" s="36">
        <v>42887</v>
      </c>
      <c r="D230" s="37" t="s">
        <v>16</v>
      </c>
      <c r="E230" s="38">
        <v>5174.0309123804609</v>
      </c>
    </row>
    <row r="231" spans="2:5" x14ac:dyDescent="0.4">
      <c r="B231" s="35">
        <v>8</v>
      </c>
      <c r="C231" s="36">
        <v>42979</v>
      </c>
      <c r="D231" s="37" t="s">
        <v>16</v>
      </c>
      <c r="E231" s="38">
        <v>5229.6328767123277</v>
      </c>
    </row>
    <row r="232" spans="2:5" x14ac:dyDescent="0.4">
      <c r="B232" s="35">
        <v>8</v>
      </c>
      <c r="C232" s="36">
        <v>41883</v>
      </c>
      <c r="D232" s="37" t="s">
        <v>15</v>
      </c>
      <c r="E232" s="38">
        <v>7350</v>
      </c>
    </row>
    <row r="233" spans="2:5" x14ac:dyDescent="0.4">
      <c r="B233" s="35">
        <v>8</v>
      </c>
      <c r="C233" s="36">
        <v>41974</v>
      </c>
      <c r="D233" s="37" t="s">
        <v>15</v>
      </c>
      <c r="E233" s="38">
        <v>7350</v>
      </c>
    </row>
    <row r="234" spans="2:5" x14ac:dyDescent="0.4">
      <c r="B234" s="35">
        <v>8</v>
      </c>
      <c r="C234" s="36">
        <v>42064</v>
      </c>
      <c r="D234" s="37" t="s">
        <v>15</v>
      </c>
      <c r="E234" s="38">
        <v>14000</v>
      </c>
    </row>
    <row r="235" spans="2:5" x14ac:dyDescent="0.4">
      <c r="B235" s="35">
        <v>8</v>
      </c>
      <c r="C235" s="36">
        <v>42156</v>
      </c>
      <c r="D235" s="37" t="s">
        <v>15</v>
      </c>
      <c r="E235" s="38">
        <v>7000</v>
      </c>
    </row>
    <row r="236" spans="2:5" x14ac:dyDescent="0.4">
      <c r="B236" s="35">
        <v>8</v>
      </c>
      <c r="C236" s="36">
        <v>42248</v>
      </c>
      <c r="D236" s="37" t="s">
        <v>15</v>
      </c>
      <c r="E236" s="38">
        <v>7000</v>
      </c>
    </row>
    <row r="237" spans="2:5" x14ac:dyDescent="0.4">
      <c r="B237" s="35">
        <v>8</v>
      </c>
      <c r="C237" s="36">
        <v>42339</v>
      </c>
      <c r="D237" s="37" t="s">
        <v>15</v>
      </c>
      <c r="E237" s="38">
        <v>14000</v>
      </c>
    </row>
    <row r="238" spans="2:5" x14ac:dyDescent="0.4">
      <c r="B238" s="35">
        <v>8</v>
      </c>
      <c r="C238" s="36">
        <v>42430</v>
      </c>
      <c r="D238" s="37" t="s">
        <v>15</v>
      </c>
      <c r="E238" s="38">
        <v>14000</v>
      </c>
    </row>
    <row r="239" spans="2:5" x14ac:dyDescent="0.4">
      <c r="B239" s="35">
        <v>8</v>
      </c>
      <c r="C239" s="36">
        <v>42522</v>
      </c>
      <c r="D239" s="37" t="s">
        <v>15</v>
      </c>
      <c r="E239" s="38">
        <v>21000</v>
      </c>
    </row>
    <row r="240" spans="2:5" x14ac:dyDescent="0.4">
      <c r="B240" s="35">
        <v>8</v>
      </c>
      <c r="C240" s="36">
        <v>42614</v>
      </c>
      <c r="D240" s="37" t="s">
        <v>15</v>
      </c>
      <c r="E240" s="38">
        <v>20300</v>
      </c>
    </row>
    <row r="241" spans="2:5" x14ac:dyDescent="0.4">
      <c r="B241" s="35">
        <v>8</v>
      </c>
      <c r="C241" s="36">
        <v>42705</v>
      </c>
      <c r="D241" s="37" t="s">
        <v>15</v>
      </c>
      <c r="E241" s="38">
        <v>13300</v>
      </c>
    </row>
    <row r="242" spans="2:5" x14ac:dyDescent="0.4">
      <c r="B242" s="35">
        <v>8</v>
      </c>
      <c r="C242" s="36">
        <v>42795</v>
      </c>
      <c r="D242" s="37" t="s">
        <v>15</v>
      </c>
      <c r="E242" s="38">
        <v>13300</v>
      </c>
    </row>
    <row r="243" spans="2:5" x14ac:dyDescent="0.4">
      <c r="B243" s="35">
        <v>8</v>
      </c>
      <c r="C243" s="36">
        <v>42887</v>
      </c>
      <c r="D243" s="37" t="s">
        <v>15</v>
      </c>
      <c r="E243" s="38">
        <v>20300</v>
      </c>
    </row>
    <row r="244" spans="2:5" x14ac:dyDescent="0.4">
      <c r="B244" s="35">
        <v>8</v>
      </c>
      <c r="C244" s="36">
        <v>42979</v>
      </c>
      <c r="D244" s="37" t="s">
        <v>15</v>
      </c>
      <c r="E244" s="38">
        <v>22750</v>
      </c>
    </row>
    <row r="245" spans="2:5" x14ac:dyDescent="0.4">
      <c r="B245" s="35">
        <v>9</v>
      </c>
      <c r="C245" s="36">
        <v>41883</v>
      </c>
      <c r="D245" s="37" t="s">
        <v>1</v>
      </c>
      <c r="E245" s="38">
        <v>94815.502448512605</v>
      </c>
    </row>
    <row r="246" spans="2:5" x14ac:dyDescent="0.4">
      <c r="B246" s="35">
        <v>9</v>
      </c>
      <c r="C246" s="36">
        <v>41974</v>
      </c>
      <c r="D246" s="37" t="s">
        <v>1</v>
      </c>
      <c r="E246" s="38">
        <v>92195.238947368431</v>
      </c>
    </row>
    <row r="247" spans="2:5" x14ac:dyDescent="0.4">
      <c r="B247" s="35">
        <v>9</v>
      </c>
      <c r="C247" s="36">
        <v>42064</v>
      </c>
      <c r="D247" s="37" t="s">
        <v>1</v>
      </c>
      <c r="E247" s="38">
        <v>92092.989130434784</v>
      </c>
    </row>
    <row r="248" spans="2:5" x14ac:dyDescent="0.4">
      <c r="B248" s="35">
        <v>9</v>
      </c>
      <c r="C248" s="36">
        <v>42156</v>
      </c>
      <c r="D248" s="37" t="s">
        <v>1</v>
      </c>
      <c r="E248" s="38">
        <v>92160.016847826046</v>
      </c>
    </row>
    <row r="249" spans="2:5" x14ac:dyDescent="0.4">
      <c r="B249" s="35">
        <v>9</v>
      </c>
      <c r="C249" s="36">
        <v>42248</v>
      </c>
      <c r="D249" s="37" t="s">
        <v>1</v>
      </c>
      <c r="E249" s="38">
        <v>92159.510869565216</v>
      </c>
    </row>
    <row r="250" spans="2:5" x14ac:dyDescent="0.4">
      <c r="B250" s="35">
        <v>9</v>
      </c>
      <c r="C250" s="36">
        <v>42339</v>
      </c>
      <c r="D250" s="37" t="s">
        <v>1</v>
      </c>
      <c r="E250" s="38">
        <v>92137.499999999985</v>
      </c>
    </row>
    <row r="251" spans="2:5" x14ac:dyDescent="0.4">
      <c r="B251" s="35">
        <v>9</v>
      </c>
      <c r="C251" s="36">
        <v>42430</v>
      </c>
      <c r="D251" s="37" t="s">
        <v>1</v>
      </c>
      <c r="E251" s="38">
        <v>92115.489130434784</v>
      </c>
    </row>
    <row r="252" spans="2:5" x14ac:dyDescent="0.4">
      <c r="B252" s="35">
        <v>9</v>
      </c>
      <c r="C252" s="36">
        <v>42522</v>
      </c>
      <c r="D252" s="37" t="s">
        <v>1</v>
      </c>
      <c r="E252" s="38">
        <v>92137.499999999985</v>
      </c>
    </row>
    <row r="253" spans="2:5" x14ac:dyDescent="0.4">
      <c r="B253" s="35">
        <v>9</v>
      </c>
      <c r="C253" s="36">
        <v>42614</v>
      </c>
      <c r="D253" s="37" t="s">
        <v>1</v>
      </c>
      <c r="E253" s="38">
        <v>92159.510869565216</v>
      </c>
    </row>
    <row r="254" spans="2:5" x14ac:dyDescent="0.4">
      <c r="B254" s="35">
        <v>9</v>
      </c>
      <c r="C254" s="36">
        <v>42705</v>
      </c>
      <c r="D254" s="37" t="s">
        <v>1</v>
      </c>
      <c r="E254" s="38">
        <v>92137.499999999985</v>
      </c>
    </row>
    <row r="255" spans="2:5" x14ac:dyDescent="0.4">
      <c r="B255" s="35">
        <v>9</v>
      </c>
      <c r="C255" s="36">
        <v>42795</v>
      </c>
      <c r="D255" s="37" t="s">
        <v>1</v>
      </c>
      <c r="E255" s="38">
        <v>92092.989130434784</v>
      </c>
    </row>
    <row r="256" spans="2:5" x14ac:dyDescent="0.4">
      <c r="B256" s="35">
        <v>9</v>
      </c>
      <c r="C256" s="36">
        <v>42887</v>
      </c>
      <c r="D256" s="37" t="s">
        <v>1</v>
      </c>
      <c r="E256" s="38">
        <v>92159.999999999985</v>
      </c>
    </row>
    <row r="257" spans="2:5" x14ac:dyDescent="0.4">
      <c r="B257" s="35">
        <v>9</v>
      </c>
      <c r="C257" s="36">
        <v>42979</v>
      </c>
      <c r="D257" s="37" t="s">
        <v>1</v>
      </c>
      <c r="E257" s="38">
        <v>92159.510869565216</v>
      </c>
    </row>
    <row r="258" spans="2:5" x14ac:dyDescent="0.4">
      <c r="B258" s="35">
        <v>9</v>
      </c>
      <c r="C258" s="36">
        <v>42064</v>
      </c>
      <c r="D258" s="37" t="s">
        <v>15</v>
      </c>
      <c r="E258" s="38">
        <v>23450</v>
      </c>
    </row>
    <row r="259" spans="2:5" x14ac:dyDescent="0.4">
      <c r="B259" s="35">
        <v>9</v>
      </c>
      <c r="C259" s="36">
        <v>42522</v>
      </c>
      <c r="D259" s="37" t="s">
        <v>15</v>
      </c>
      <c r="E259" s="38">
        <v>23450</v>
      </c>
    </row>
    <row r="260" spans="2:5" x14ac:dyDescent="0.4">
      <c r="B260" s="35">
        <v>10</v>
      </c>
      <c r="C260" s="36">
        <v>41883</v>
      </c>
      <c r="D260" s="37" t="s">
        <v>2</v>
      </c>
      <c r="E260" s="38">
        <v>57854.136986301368</v>
      </c>
    </row>
    <row r="261" spans="2:5" x14ac:dyDescent="0.4">
      <c r="B261" s="35">
        <v>10</v>
      </c>
      <c r="C261" s="36">
        <v>41974</v>
      </c>
      <c r="D261" s="37" t="s">
        <v>2</v>
      </c>
      <c r="E261" s="38">
        <v>53869.431479452054</v>
      </c>
    </row>
    <row r="262" spans="2:5" x14ac:dyDescent="0.4">
      <c r="B262" s="35">
        <v>10</v>
      </c>
      <c r="C262" s="36">
        <v>42064</v>
      </c>
      <c r="D262" s="37" t="s">
        <v>2</v>
      </c>
      <c r="E262" s="38">
        <v>50717.36465753425</v>
      </c>
    </row>
    <row r="263" spans="2:5" x14ac:dyDescent="0.4">
      <c r="B263" s="35">
        <v>10</v>
      </c>
      <c r="C263" s="36">
        <v>42156</v>
      </c>
      <c r="D263" s="37" t="s">
        <v>2</v>
      </c>
      <c r="E263" s="38">
        <v>51280.890931506845</v>
      </c>
    </row>
    <row r="264" spans="2:5" x14ac:dyDescent="0.4">
      <c r="B264" s="35">
        <v>10</v>
      </c>
      <c r="C264" s="36">
        <v>42248</v>
      </c>
      <c r="D264" s="37" t="s">
        <v>2</v>
      </c>
      <c r="E264" s="38">
        <v>51844.396668382535</v>
      </c>
    </row>
    <row r="265" spans="2:5" x14ac:dyDescent="0.4">
      <c r="B265" s="35">
        <v>10</v>
      </c>
      <c r="C265" s="36">
        <v>42339</v>
      </c>
      <c r="D265" s="37" t="s">
        <v>2</v>
      </c>
      <c r="E265" s="38">
        <v>50328.002435882503</v>
      </c>
    </row>
    <row r="266" spans="2:5" x14ac:dyDescent="0.4">
      <c r="B266" s="35">
        <v>10</v>
      </c>
      <c r="C266" s="36">
        <v>42430</v>
      </c>
      <c r="D266" s="37" t="s">
        <v>2</v>
      </c>
      <c r="E266" s="38">
        <v>49835.676817500003</v>
      </c>
    </row>
    <row r="267" spans="2:5" x14ac:dyDescent="0.4">
      <c r="B267" s="35">
        <v>10</v>
      </c>
      <c r="C267" s="36">
        <v>42522</v>
      </c>
      <c r="D267" s="37" t="s">
        <v>2</v>
      </c>
      <c r="E267" s="38">
        <v>49835.67693999999</v>
      </c>
    </row>
    <row r="268" spans="2:5" x14ac:dyDescent="0.4">
      <c r="B268" s="35">
        <v>10</v>
      </c>
      <c r="C268" s="36">
        <v>42614</v>
      </c>
      <c r="D268" s="37" t="s">
        <v>2</v>
      </c>
      <c r="E268" s="38">
        <v>50383.321782499996</v>
      </c>
    </row>
    <row r="269" spans="2:5" x14ac:dyDescent="0.4">
      <c r="B269" s="35">
        <v>10</v>
      </c>
      <c r="C269" s="36">
        <v>42705</v>
      </c>
      <c r="D269" s="37" t="s">
        <v>2</v>
      </c>
      <c r="E269" s="38">
        <v>50473.345202000004</v>
      </c>
    </row>
    <row r="270" spans="2:5" x14ac:dyDescent="0.4">
      <c r="B270" s="35">
        <v>10</v>
      </c>
      <c r="C270" s="36">
        <v>42795</v>
      </c>
      <c r="D270" s="37" t="s">
        <v>2</v>
      </c>
      <c r="E270" s="38">
        <v>49423.068345</v>
      </c>
    </row>
    <row r="271" spans="2:5" x14ac:dyDescent="0.4">
      <c r="B271" s="35">
        <v>10</v>
      </c>
      <c r="C271" s="36">
        <v>42887</v>
      </c>
      <c r="D271" s="37" t="s">
        <v>2</v>
      </c>
      <c r="E271" s="38">
        <v>50602.529145000008</v>
      </c>
    </row>
    <row r="272" spans="2:5" x14ac:dyDescent="0.4">
      <c r="B272" s="35">
        <v>10</v>
      </c>
      <c r="C272" s="36">
        <v>42979</v>
      </c>
      <c r="D272" s="37" t="s">
        <v>2</v>
      </c>
      <c r="E272" s="38">
        <v>50761.977945000013</v>
      </c>
    </row>
    <row r="273" spans="2:5" x14ac:dyDescent="0.4">
      <c r="B273" s="35">
        <v>10</v>
      </c>
      <c r="C273" s="36">
        <v>42064</v>
      </c>
      <c r="D273" s="37" t="s">
        <v>16</v>
      </c>
      <c r="E273" s="38">
        <v>13693.150684931508</v>
      </c>
    </row>
    <row r="274" spans="2:5" x14ac:dyDescent="0.4">
      <c r="B274" s="35">
        <v>10</v>
      </c>
      <c r="C274" s="36">
        <v>42156</v>
      </c>
      <c r="D274" s="37" t="s">
        <v>16</v>
      </c>
      <c r="E274" s="38">
        <v>14659.726027397261</v>
      </c>
    </row>
    <row r="275" spans="2:5" x14ac:dyDescent="0.4">
      <c r="B275" s="35">
        <v>10</v>
      </c>
      <c r="C275" s="36">
        <v>42248</v>
      </c>
      <c r="D275" s="37" t="s">
        <v>16</v>
      </c>
      <c r="E275" s="38">
        <v>14820.821917808218</v>
      </c>
    </row>
    <row r="276" spans="2:5" x14ac:dyDescent="0.4">
      <c r="B276" s="35">
        <v>10</v>
      </c>
      <c r="C276" s="36">
        <v>42339</v>
      </c>
      <c r="D276" s="37" t="s">
        <v>16</v>
      </c>
      <c r="E276" s="38">
        <v>14820.821917808211</v>
      </c>
    </row>
    <row r="277" spans="2:5" x14ac:dyDescent="0.4">
      <c r="B277" s="35">
        <v>10</v>
      </c>
      <c r="C277" s="36">
        <v>42430</v>
      </c>
      <c r="D277" s="37" t="s">
        <v>16</v>
      </c>
      <c r="E277" s="38">
        <v>18421.381091399067</v>
      </c>
    </row>
    <row r="278" spans="2:5" x14ac:dyDescent="0.4">
      <c r="B278" s="35">
        <v>10</v>
      </c>
      <c r="C278" s="36">
        <v>42522</v>
      </c>
      <c r="D278" s="37" t="s">
        <v>16</v>
      </c>
      <c r="E278" s="38">
        <v>18640.081967213107</v>
      </c>
    </row>
    <row r="279" spans="2:5" x14ac:dyDescent="0.4">
      <c r="B279" s="35">
        <v>10</v>
      </c>
      <c r="C279" s="36">
        <v>42614</v>
      </c>
      <c r="D279" s="37" t="s">
        <v>16</v>
      </c>
      <c r="E279" s="38">
        <v>18844.918032786889</v>
      </c>
    </row>
    <row r="280" spans="2:5" x14ac:dyDescent="0.4">
      <c r="B280" s="35">
        <v>10</v>
      </c>
      <c r="C280" s="36">
        <v>42705</v>
      </c>
      <c r="D280" s="37" t="s">
        <v>16</v>
      </c>
      <c r="E280" s="38">
        <v>18844.918032786874</v>
      </c>
    </row>
    <row r="281" spans="2:5" x14ac:dyDescent="0.4">
      <c r="B281" s="35">
        <v>10</v>
      </c>
      <c r="C281" s="36">
        <v>42795</v>
      </c>
      <c r="D281" s="37" t="s">
        <v>16</v>
      </c>
      <c r="E281" s="38">
        <v>18879.762570917006</v>
      </c>
    </row>
    <row r="282" spans="2:5" x14ac:dyDescent="0.4">
      <c r="B282" s="35">
        <v>10</v>
      </c>
      <c r="C282" s="36">
        <v>42887</v>
      </c>
      <c r="D282" s="37" t="s">
        <v>16</v>
      </c>
      <c r="E282" s="38">
        <v>20574.841827190325</v>
      </c>
    </row>
    <row r="283" spans="2:5" x14ac:dyDescent="0.4">
      <c r="B283" s="35">
        <v>10</v>
      </c>
      <c r="C283" s="36">
        <v>42979</v>
      </c>
      <c r="D283" s="37" t="s">
        <v>16</v>
      </c>
      <c r="E283" s="38">
        <v>25047.504218759845</v>
      </c>
    </row>
    <row r="284" spans="2:5" x14ac:dyDescent="0.4">
      <c r="B284" s="35">
        <v>10</v>
      </c>
      <c r="C284" s="36">
        <v>41974</v>
      </c>
      <c r="D284" s="37" t="s">
        <v>15</v>
      </c>
      <c r="E284" s="38">
        <v>23450</v>
      </c>
    </row>
    <row r="285" spans="2:5" x14ac:dyDescent="0.4">
      <c r="B285" s="35">
        <v>10</v>
      </c>
      <c r="C285" s="36">
        <v>42156</v>
      </c>
      <c r="D285" s="37" t="s">
        <v>15</v>
      </c>
      <c r="E285" s="38">
        <v>23450</v>
      </c>
    </row>
    <row r="286" spans="2:5" x14ac:dyDescent="0.4">
      <c r="B286" s="35">
        <v>10</v>
      </c>
      <c r="C286" s="36">
        <v>42339</v>
      </c>
      <c r="D286" s="37" t="s">
        <v>15</v>
      </c>
      <c r="E286" s="38">
        <v>23450</v>
      </c>
    </row>
    <row r="287" spans="2:5" x14ac:dyDescent="0.4">
      <c r="B287" s="35">
        <v>10</v>
      </c>
      <c r="C287" s="36">
        <v>42430</v>
      </c>
      <c r="D287" s="37" t="s">
        <v>15</v>
      </c>
      <c r="E287" s="38">
        <v>56875</v>
      </c>
    </row>
    <row r="288" spans="2:5" x14ac:dyDescent="0.4">
      <c r="B288" s="35">
        <v>10</v>
      </c>
      <c r="C288" s="36">
        <v>42614</v>
      </c>
      <c r="D288" s="37" t="s">
        <v>15</v>
      </c>
      <c r="E288" s="38">
        <v>52500</v>
      </c>
    </row>
    <row r="289" spans="2:5" x14ac:dyDescent="0.4">
      <c r="B289" s="35">
        <v>10</v>
      </c>
      <c r="C289" s="36">
        <v>42705</v>
      </c>
      <c r="D289" s="37" t="s">
        <v>15</v>
      </c>
      <c r="E289" s="38">
        <v>101500</v>
      </c>
    </row>
    <row r="290" spans="2:5" x14ac:dyDescent="0.4">
      <c r="B290" s="35">
        <v>10</v>
      </c>
      <c r="C290" s="36">
        <v>42887</v>
      </c>
      <c r="D290" s="37" t="s">
        <v>15</v>
      </c>
      <c r="E290" s="38">
        <v>101500</v>
      </c>
    </row>
    <row r="291" spans="2:5" x14ac:dyDescent="0.4">
      <c r="B291" s="35">
        <v>10</v>
      </c>
      <c r="C291" s="36">
        <v>41974</v>
      </c>
      <c r="D291" s="37" t="s">
        <v>14</v>
      </c>
      <c r="E291" s="38">
        <v>23859.5</v>
      </c>
    </row>
    <row r="292" spans="2:5" x14ac:dyDescent="0.4">
      <c r="B292" s="35">
        <v>10</v>
      </c>
      <c r="C292" s="36">
        <v>42887</v>
      </c>
      <c r="D292" s="37" t="s">
        <v>14</v>
      </c>
      <c r="E292" s="38">
        <v>7887.25</v>
      </c>
    </row>
    <row r="293" spans="2:5" x14ac:dyDescent="0.4">
      <c r="B293" s="35">
        <v>11</v>
      </c>
      <c r="C293" s="36">
        <v>42887</v>
      </c>
      <c r="D293" s="37" t="s">
        <v>1</v>
      </c>
      <c r="E293" s="38">
        <v>30244.565217391308</v>
      </c>
    </row>
    <row r="294" spans="2:5" x14ac:dyDescent="0.4">
      <c r="B294" s="35">
        <v>11</v>
      </c>
      <c r="C294" s="36">
        <v>42979</v>
      </c>
      <c r="D294" s="37" t="s">
        <v>1</v>
      </c>
      <c r="E294" s="38">
        <v>69562.5</v>
      </c>
    </row>
    <row r="295" spans="2:5" x14ac:dyDescent="0.4">
      <c r="B295" s="35">
        <v>11</v>
      </c>
      <c r="C295" s="36">
        <v>42887</v>
      </c>
      <c r="D295" s="37" t="s">
        <v>16</v>
      </c>
      <c r="E295" s="38">
        <v>2393.4246575342454</v>
      </c>
    </row>
    <row r="296" spans="2:5" x14ac:dyDescent="0.4">
      <c r="B296" s="35">
        <v>11</v>
      </c>
      <c r="C296" s="36">
        <v>42979</v>
      </c>
      <c r="D296" s="37" t="s">
        <v>16</v>
      </c>
      <c r="E296" s="38">
        <v>5504.876712328768</v>
      </c>
    </row>
    <row r="297" spans="2:5" x14ac:dyDescent="0.4">
      <c r="B297" s="35">
        <v>11</v>
      </c>
      <c r="C297" s="36">
        <v>42887</v>
      </c>
      <c r="D297" s="37" t="s">
        <v>15</v>
      </c>
      <c r="E297" s="38">
        <v>52587.5</v>
      </c>
    </row>
    <row r="298" spans="2:5" x14ac:dyDescent="0.4">
      <c r="B298" s="35">
        <v>12</v>
      </c>
      <c r="C298" s="36">
        <v>41883</v>
      </c>
      <c r="D298" s="37" t="s">
        <v>2</v>
      </c>
      <c r="E298" s="38">
        <v>42996.820904109583</v>
      </c>
    </row>
    <row r="299" spans="2:5" x14ac:dyDescent="0.4">
      <c r="B299" s="35">
        <v>12</v>
      </c>
      <c r="C299" s="36">
        <v>41974</v>
      </c>
      <c r="D299" s="37" t="s">
        <v>2</v>
      </c>
      <c r="E299" s="38">
        <v>39645.407506849326</v>
      </c>
    </row>
    <row r="300" spans="2:5" x14ac:dyDescent="0.4">
      <c r="B300" s="35">
        <v>12</v>
      </c>
      <c r="C300" s="36">
        <v>42064</v>
      </c>
      <c r="D300" s="37" t="s">
        <v>2</v>
      </c>
      <c r="E300" s="38">
        <v>40950.129452054804</v>
      </c>
    </row>
    <row r="301" spans="2:5" x14ac:dyDescent="0.4">
      <c r="B301" s="35">
        <v>12</v>
      </c>
      <c r="C301" s="36">
        <v>42156</v>
      </c>
      <c r="D301" s="37" t="s">
        <v>2</v>
      </c>
      <c r="E301" s="38">
        <v>41152.763718036542</v>
      </c>
    </row>
    <row r="302" spans="2:5" x14ac:dyDescent="0.4">
      <c r="B302" s="35">
        <v>12</v>
      </c>
      <c r="C302" s="36">
        <v>42248</v>
      </c>
      <c r="D302" s="37" t="s">
        <v>2</v>
      </c>
      <c r="E302" s="38">
        <v>42936.619935754985</v>
      </c>
    </row>
    <row r="303" spans="2:5" x14ac:dyDescent="0.4">
      <c r="B303" s="35">
        <v>12</v>
      </c>
      <c r="C303" s="36">
        <v>42339</v>
      </c>
      <c r="D303" s="37" t="s">
        <v>2</v>
      </c>
      <c r="E303" s="38">
        <v>43191.995612954997</v>
      </c>
    </row>
    <row r="304" spans="2:5" x14ac:dyDescent="0.4">
      <c r="B304" s="35">
        <v>12</v>
      </c>
      <c r="C304" s="36">
        <v>42430</v>
      </c>
      <c r="D304" s="37" t="s">
        <v>2</v>
      </c>
      <c r="E304" s="38">
        <v>42564.770884999991</v>
      </c>
    </row>
    <row r="305" spans="2:5" x14ac:dyDescent="0.4">
      <c r="B305" s="35">
        <v>12</v>
      </c>
      <c r="C305" s="36">
        <v>42522</v>
      </c>
      <c r="D305" s="37" t="s">
        <v>2</v>
      </c>
      <c r="E305" s="38">
        <v>43765.285375000007</v>
      </c>
    </row>
    <row r="306" spans="2:5" x14ac:dyDescent="0.4">
      <c r="B306" s="35">
        <v>12</v>
      </c>
      <c r="C306" s="36">
        <v>42614</v>
      </c>
      <c r="D306" s="37" t="s">
        <v>2</v>
      </c>
      <c r="E306" s="38">
        <v>44819.621385000013</v>
      </c>
    </row>
    <row r="307" spans="2:5" x14ac:dyDescent="0.4">
      <c r="B307" s="35">
        <v>12</v>
      </c>
      <c r="C307" s="36">
        <v>42705</v>
      </c>
      <c r="D307" s="37" t="s">
        <v>2</v>
      </c>
      <c r="E307" s="38">
        <v>44819.621385000006</v>
      </c>
    </row>
    <row r="308" spans="2:5" x14ac:dyDescent="0.4">
      <c r="B308" s="35">
        <v>12</v>
      </c>
      <c r="C308" s="36">
        <v>42795</v>
      </c>
      <c r="D308" s="37" t="s">
        <v>2</v>
      </c>
      <c r="E308" s="38">
        <v>43845.281515000017</v>
      </c>
    </row>
    <row r="309" spans="2:5" x14ac:dyDescent="0.4">
      <c r="B309" s="35">
        <v>12</v>
      </c>
      <c r="C309" s="36">
        <v>42887</v>
      </c>
      <c r="D309" s="37" t="s">
        <v>2</v>
      </c>
      <c r="E309" s="38">
        <v>44741.461817499992</v>
      </c>
    </row>
    <row r="310" spans="2:5" x14ac:dyDescent="0.4">
      <c r="B310" s="35">
        <v>12</v>
      </c>
      <c r="C310" s="36">
        <v>42979</v>
      </c>
      <c r="D310" s="37" t="s">
        <v>2</v>
      </c>
      <c r="E310" s="38">
        <v>44726.769867499985</v>
      </c>
    </row>
    <row r="311" spans="2:5" x14ac:dyDescent="0.4">
      <c r="B311" s="35">
        <v>12</v>
      </c>
      <c r="C311" s="36">
        <v>41883</v>
      </c>
      <c r="D311" s="37" t="s">
        <v>15</v>
      </c>
      <c r="E311" s="38">
        <v>7350</v>
      </c>
    </row>
    <row r="312" spans="2:5" x14ac:dyDescent="0.4">
      <c r="B312" s="35">
        <v>12</v>
      </c>
      <c r="C312" s="36">
        <v>41974</v>
      </c>
      <c r="D312" s="37" t="s">
        <v>15</v>
      </c>
      <c r="E312" s="38">
        <v>14350</v>
      </c>
    </row>
    <row r="313" spans="2:5" x14ac:dyDescent="0.4">
      <c r="B313" s="35">
        <v>12</v>
      </c>
      <c r="C313" s="36">
        <v>42064</v>
      </c>
      <c r="D313" s="37" t="s">
        <v>15</v>
      </c>
      <c r="E313" s="38">
        <v>14000</v>
      </c>
    </row>
    <row r="314" spans="2:5" x14ac:dyDescent="0.4">
      <c r="B314" s="35">
        <v>12</v>
      </c>
      <c r="C314" s="36">
        <v>42156</v>
      </c>
      <c r="D314" s="37" t="s">
        <v>15</v>
      </c>
      <c r="E314" s="38">
        <v>14000</v>
      </c>
    </row>
    <row r="315" spans="2:5" x14ac:dyDescent="0.4">
      <c r="B315" s="35">
        <v>12</v>
      </c>
      <c r="C315" s="36">
        <v>42248</v>
      </c>
      <c r="D315" s="37" t="s">
        <v>15</v>
      </c>
      <c r="E315" s="38">
        <v>14000</v>
      </c>
    </row>
    <row r="316" spans="2:5" x14ac:dyDescent="0.4">
      <c r="B316" s="35">
        <v>12</v>
      </c>
      <c r="C316" s="36">
        <v>42339</v>
      </c>
      <c r="D316" s="37" t="s">
        <v>15</v>
      </c>
      <c r="E316" s="38">
        <v>34300</v>
      </c>
    </row>
    <row r="317" spans="2:5" x14ac:dyDescent="0.4">
      <c r="B317" s="35">
        <v>12</v>
      </c>
      <c r="C317" s="36">
        <v>42430</v>
      </c>
      <c r="D317" s="37" t="s">
        <v>15</v>
      </c>
      <c r="E317" s="38">
        <v>14000</v>
      </c>
    </row>
    <row r="318" spans="2:5" x14ac:dyDescent="0.4">
      <c r="B318" s="35">
        <v>12</v>
      </c>
      <c r="C318" s="36">
        <v>42522</v>
      </c>
      <c r="D318" s="37" t="s">
        <v>15</v>
      </c>
      <c r="E318" s="38">
        <v>23450</v>
      </c>
    </row>
    <row r="319" spans="2:5" x14ac:dyDescent="0.4">
      <c r="B319" s="35">
        <v>12</v>
      </c>
      <c r="C319" s="36">
        <v>42614</v>
      </c>
      <c r="D319" s="37" t="s">
        <v>15</v>
      </c>
      <c r="E319" s="38">
        <v>30450</v>
      </c>
    </row>
    <row r="320" spans="2:5" x14ac:dyDescent="0.4">
      <c r="B320" s="35">
        <v>12</v>
      </c>
      <c r="C320" s="36">
        <v>42705</v>
      </c>
      <c r="D320" s="37" t="s">
        <v>15</v>
      </c>
      <c r="E320" s="38">
        <v>25007.5</v>
      </c>
    </row>
    <row r="321" spans="2:5" x14ac:dyDescent="0.4">
      <c r="B321" s="35">
        <v>12</v>
      </c>
      <c r="C321" s="36">
        <v>42795</v>
      </c>
      <c r="D321" s="37" t="s">
        <v>15</v>
      </c>
      <c r="E321" s="38">
        <v>49245</v>
      </c>
    </row>
    <row r="322" spans="2:5" x14ac:dyDescent="0.4">
      <c r="B322" s="35">
        <v>12</v>
      </c>
      <c r="C322" s="36">
        <v>42887</v>
      </c>
      <c r="D322" s="37" t="s">
        <v>15</v>
      </c>
      <c r="E322" s="38">
        <v>23450</v>
      </c>
    </row>
    <row r="323" spans="2:5" x14ac:dyDescent="0.4">
      <c r="B323" s="35">
        <v>12</v>
      </c>
      <c r="C323" s="36">
        <v>42979</v>
      </c>
      <c r="D323" s="37" t="s">
        <v>15</v>
      </c>
      <c r="E323" s="38">
        <v>23450</v>
      </c>
    </row>
    <row r="324" spans="2:5" x14ac:dyDescent="0.4">
      <c r="B324" s="35">
        <v>12</v>
      </c>
      <c r="C324" s="36">
        <v>41883</v>
      </c>
      <c r="D324" s="37" t="s">
        <v>14</v>
      </c>
      <c r="E324" s="38">
        <v>106968.75</v>
      </c>
    </row>
    <row r="325" spans="2:5" x14ac:dyDescent="0.4">
      <c r="B325" s="35">
        <v>12</v>
      </c>
      <c r="C325" s="36">
        <v>42064</v>
      </c>
      <c r="D325" s="37" t="s">
        <v>14</v>
      </c>
      <c r="E325" s="38">
        <v>63808.5</v>
      </c>
    </row>
    <row r="326" spans="2:5" x14ac:dyDescent="0.4">
      <c r="B326" s="35">
        <v>12</v>
      </c>
      <c r="C326" s="36">
        <v>42156</v>
      </c>
      <c r="D326" s="37" t="s">
        <v>14</v>
      </c>
      <c r="E326" s="38">
        <v>30880.5</v>
      </c>
    </row>
    <row r="327" spans="2:5" x14ac:dyDescent="0.4">
      <c r="B327" s="35">
        <v>12</v>
      </c>
      <c r="C327" s="36">
        <v>42339</v>
      </c>
      <c r="D327" s="37" t="s">
        <v>14</v>
      </c>
      <c r="E327" s="38">
        <v>4375</v>
      </c>
    </row>
    <row r="328" spans="2:5" x14ac:dyDescent="0.4">
      <c r="B328" s="35">
        <v>12</v>
      </c>
      <c r="C328" s="36">
        <v>42522</v>
      </c>
      <c r="D328" s="37" t="s">
        <v>14</v>
      </c>
      <c r="E328" s="38">
        <v>29037.75</v>
      </c>
    </row>
    <row r="329" spans="2:5" x14ac:dyDescent="0.4">
      <c r="B329" s="35">
        <v>13</v>
      </c>
      <c r="C329" s="36">
        <v>42979</v>
      </c>
      <c r="D329" s="37" t="s">
        <v>1</v>
      </c>
      <c r="E329" s="38">
        <v>47561.643835616436</v>
      </c>
    </row>
    <row r="330" spans="2:5" x14ac:dyDescent="0.4">
      <c r="B330" s="35">
        <v>13</v>
      </c>
      <c r="C330" s="36">
        <v>41883</v>
      </c>
      <c r="D330" s="37" t="s">
        <v>2</v>
      </c>
      <c r="E330" s="38">
        <v>35581.882191780824</v>
      </c>
    </row>
    <row r="331" spans="2:5" x14ac:dyDescent="0.4">
      <c r="B331" s="35">
        <v>13</v>
      </c>
      <c r="C331" s="36">
        <v>41974</v>
      </c>
      <c r="D331" s="37" t="s">
        <v>2</v>
      </c>
      <c r="E331" s="38">
        <v>35581.882191780831</v>
      </c>
    </row>
    <row r="332" spans="2:5" x14ac:dyDescent="0.4">
      <c r="B332" s="35">
        <v>13</v>
      </c>
      <c r="C332" s="36">
        <v>42064</v>
      </c>
      <c r="D332" s="37" t="s">
        <v>2</v>
      </c>
      <c r="E332" s="38">
        <v>34808.363013698639</v>
      </c>
    </row>
    <row r="333" spans="2:5" x14ac:dyDescent="0.4">
      <c r="B333" s="35">
        <v>13</v>
      </c>
      <c r="C333" s="36">
        <v>42156</v>
      </c>
      <c r="D333" s="37" t="s">
        <v>2</v>
      </c>
      <c r="E333" s="38">
        <v>34765.037485964502</v>
      </c>
    </row>
    <row r="334" spans="2:5" x14ac:dyDescent="0.4">
      <c r="B334" s="35">
        <v>13</v>
      </c>
      <c r="C334" s="36">
        <v>42248</v>
      </c>
      <c r="D334" s="37" t="s">
        <v>2</v>
      </c>
      <c r="E334" s="38">
        <v>35484.664494457495</v>
      </c>
    </row>
    <row r="335" spans="2:5" x14ac:dyDescent="0.4">
      <c r="B335" s="35">
        <v>13</v>
      </c>
      <c r="C335" s="36">
        <v>42339</v>
      </c>
      <c r="D335" s="37" t="s">
        <v>2</v>
      </c>
      <c r="E335" s="38">
        <v>35484.664494457495</v>
      </c>
    </row>
    <row r="336" spans="2:5" x14ac:dyDescent="0.4">
      <c r="B336" s="35">
        <v>13</v>
      </c>
      <c r="C336" s="36">
        <v>42430</v>
      </c>
      <c r="D336" s="37" t="s">
        <v>2</v>
      </c>
      <c r="E336" s="38">
        <v>35098.962132499997</v>
      </c>
    </row>
    <row r="337" spans="2:5" x14ac:dyDescent="0.4">
      <c r="B337" s="35">
        <v>13</v>
      </c>
      <c r="C337" s="36">
        <v>42522</v>
      </c>
      <c r="D337" s="37" t="s">
        <v>2</v>
      </c>
      <c r="E337" s="38">
        <v>35356.584021499999</v>
      </c>
    </row>
    <row r="338" spans="2:5" x14ac:dyDescent="0.4">
      <c r="B338" s="35">
        <v>13</v>
      </c>
      <c r="C338" s="36">
        <v>42614</v>
      </c>
      <c r="D338" s="37" t="s">
        <v>2</v>
      </c>
      <c r="E338" s="38">
        <v>36062.746965000013</v>
      </c>
    </row>
    <row r="339" spans="2:5" x14ac:dyDescent="0.4">
      <c r="B339" s="35">
        <v>13</v>
      </c>
      <c r="C339" s="36">
        <v>42705</v>
      </c>
      <c r="D339" s="37" t="s">
        <v>2</v>
      </c>
      <c r="E339" s="38">
        <v>36062.746964999998</v>
      </c>
    </row>
    <row r="340" spans="2:5" x14ac:dyDescent="0.4">
      <c r="B340" s="35">
        <v>13</v>
      </c>
      <c r="C340" s="36">
        <v>42795</v>
      </c>
      <c r="D340" s="37" t="s">
        <v>2</v>
      </c>
      <c r="E340" s="38">
        <v>35278.774772500001</v>
      </c>
    </row>
    <row r="341" spans="2:5" x14ac:dyDescent="0.4">
      <c r="B341" s="35">
        <v>13</v>
      </c>
      <c r="C341" s="36">
        <v>42887</v>
      </c>
      <c r="D341" s="37" t="s">
        <v>2</v>
      </c>
      <c r="E341" s="38">
        <v>28840.268442999997</v>
      </c>
    </row>
    <row r="342" spans="2:5" x14ac:dyDescent="0.4">
      <c r="B342" s="35">
        <v>13</v>
      </c>
      <c r="C342" s="36">
        <v>42979</v>
      </c>
      <c r="D342" s="37" t="s">
        <v>2</v>
      </c>
      <c r="E342" s="38">
        <v>20242.079934999994</v>
      </c>
    </row>
    <row r="343" spans="2:5" x14ac:dyDescent="0.4">
      <c r="B343" s="35">
        <v>14</v>
      </c>
      <c r="C343" s="36">
        <v>42979</v>
      </c>
      <c r="D343" s="37" t="s">
        <v>1</v>
      </c>
      <c r="E343" s="38">
        <v>1057.3155737704919</v>
      </c>
    </row>
    <row r="344" spans="2:5" x14ac:dyDescent="0.4">
      <c r="B344" s="35">
        <v>14</v>
      </c>
      <c r="C344" s="36">
        <v>41883</v>
      </c>
      <c r="D344" s="37" t="s">
        <v>2</v>
      </c>
      <c r="E344" s="38">
        <v>23592.895890410957</v>
      </c>
    </row>
    <row r="345" spans="2:5" x14ac:dyDescent="0.4">
      <c r="B345" s="35">
        <v>14</v>
      </c>
      <c r="C345" s="36">
        <v>41974</v>
      </c>
      <c r="D345" s="37" t="s">
        <v>2</v>
      </c>
      <c r="E345" s="38">
        <v>23592.895890410957</v>
      </c>
    </row>
    <row r="346" spans="2:5" x14ac:dyDescent="0.4">
      <c r="B346" s="35">
        <v>14</v>
      </c>
      <c r="C346" s="36">
        <v>42064</v>
      </c>
      <c r="D346" s="37" t="s">
        <v>2</v>
      </c>
      <c r="E346" s="38">
        <v>23080.006849315072</v>
      </c>
    </row>
    <row r="347" spans="2:5" x14ac:dyDescent="0.4">
      <c r="B347" s="35">
        <v>14</v>
      </c>
      <c r="C347" s="36">
        <v>42156</v>
      </c>
      <c r="D347" s="37" t="s">
        <v>2</v>
      </c>
      <c r="E347" s="38">
        <v>23336.451369863022</v>
      </c>
    </row>
    <row r="348" spans="2:5" x14ac:dyDescent="0.4">
      <c r="B348" s="35">
        <v>14</v>
      </c>
      <c r="C348" s="36">
        <v>42248</v>
      </c>
      <c r="D348" s="37" t="s">
        <v>2</v>
      </c>
      <c r="E348" s="38">
        <v>23592.894652670002</v>
      </c>
    </row>
    <row r="349" spans="2:5" x14ac:dyDescent="0.4">
      <c r="B349" s="35">
        <v>14</v>
      </c>
      <c r="C349" s="36">
        <v>42339</v>
      </c>
      <c r="D349" s="37" t="s">
        <v>2</v>
      </c>
      <c r="E349" s="38">
        <v>23592.894652670002</v>
      </c>
    </row>
    <row r="350" spans="2:5" x14ac:dyDescent="0.4">
      <c r="B350" s="35">
        <v>14</v>
      </c>
      <c r="C350" s="36">
        <v>42430</v>
      </c>
      <c r="D350" s="37" t="s">
        <v>2</v>
      </c>
      <c r="E350" s="38">
        <v>24530.389103500002</v>
      </c>
    </row>
    <row r="351" spans="2:5" x14ac:dyDescent="0.4">
      <c r="B351" s="35">
        <v>14</v>
      </c>
      <c r="C351" s="36">
        <v>42522</v>
      </c>
      <c r="D351" s="37" t="s">
        <v>2</v>
      </c>
      <c r="E351" s="38">
        <v>26965.044417500005</v>
      </c>
    </row>
    <row r="352" spans="2:5" x14ac:dyDescent="0.4">
      <c r="B352" s="35">
        <v>14</v>
      </c>
      <c r="C352" s="36">
        <v>42614</v>
      </c>
      <c r="D352" s="37" t="s">
        <v>2</v>
      </c>
      <c r="E352" s="38">
        <v>26784.786682500002</v>
      </c>
    </row>
    <row r="353" spans="2:5" x14ac:dyDescent="0.4">
      <c r="B353" s="35">
        <v>14</v>
      </c>
      <c r="C353" s="36">
        <v>42705</v>
      </c>
      <c r="D353" s="37" t="s">
        <v>2</v>
      </c>
      <c r="E353" s="38">
        <v>26784.786682500002</v>
      </c>
    </row>
    <row r="354" spans="2:5" x14ac:dyDescent="0.4">
      <c r="B354" s="35">
        <v>14</v>
      </c>
      <c r="C354" s="36">
        <v>42795</v>
      </c>
      <c r="D354" s="37" t="s">
        <v>2</v>
      </c>
      <c r="E354" s="38">
        <v>26393.919205500006</v>
      </c>
    </row>
    <row r="355" spans="2:5" x14ac:dyDescent="0.4">
      <c r="B355" s="35">
        <v>14</v>
      </c>
      <c r="C355" s="36">
        <v>42887</v>
      </c>
      <c r="D355" s="37" t="s">
        <v>2</v>
      </c>
      <c r="E355" s="38">
        <v>28321.855904999997</v>
      </c>
    </row>
    <row r="356" spans="2:5" x14ac:dyDescent="0.4">
      <c r="B356" s="35">
        <v>14</v>
      </c>
      <c r="C356" s="36">
        <v>42979</v>
      </c>
      <c r="D356" s="37" t="s">
        <v>2</v>
      </c>
      <c r="E356" s="38">
        <v>28131.198060000002</v>
      </c>
    </row>
    <row r="357" spans="2:5" x14ac:dyDescent="0.4">
      <c r="B357" s="35">
        <v>14</v>
      </c>
      <c r="C357" s="36">
        <v>42064</v>
      </c>
      <c r="D357" s="37" t="s">
        <v>15</v>
      </c>
      <c r="E357" s="38">
        <v>23450</v>
      </c>
    </row>
    <row r="358" spans="2:5" x14ac:dyDescent="0.4">
      <c r="B358" s="35">
        <v>14</v>
      </c>
      <c r="C358" s="36">
        <v>42156</v>
      </c>
      <c r="D358" s="37" t="s">
        <v>15</v>
      </c>
      <c r="E358" s="38">
        <v>23450</v>
      </c>
    </row>
    <row r="359" spans="2:5" x14ac:dyDescent="0.4">
      <c r="B359" s="35">
        <v>14</v>
      </c>
      <c r="C359" s="36">
        <v>42339</v>
      </c>
      <c r="D359" s="37" t="s">
        <v>15</v>
      </c>
      <c r="E359" s="38">
        <v>23450</v>
      </c>
    </row>
    <row r="360" spans="2:5" x14ac:dyDescent="0.4">
      <c r="B360" s="35">
        <v>14</v>
      </c>
      <c r="C360" s="36">
        <v>42430</v>
      </c>
      <c r="D360" s="37" t="s">
        <v>15</v>
      </c>
      <c r="E360" s="38">
        <v>23450</v>
      </c>
    </row>
    <row r="361" spans="2:5" x14ac:dyDescent="0.4">
      <c r="B361" s="35">
        <v>14</v>
      </c>
      <c r="C361" s="36">
        <v>42522</v>
      </c>
      <c r="D361" s="37" t="s">
        <v>15</v>
      </c>
      <c r="E361" s="38">
        <v>23450</v>
      </c>
    </row>
    <row r="362" spans="2:5" x14ac:dyDescent="0.4">
      <c r="B362" s="35">
        <v>14</v>
      </c>
      <c r="C362" s="36">
        <v>42614</v>
      </c>
      <c r="D362" s="37" t="s">
        <v>15</v>
      </c>
      <c r="E362" s="38">
        <v>23450</v>
      </c>
    </row>
    <row r="363" spans="2:5" x14ac:dyDescent="0.4">
      <c r="B363" s="35">
        <v>14</v>
      </c>
      <c r="C363" s="36">
        <v>42705</v>
      </c>
      <c r="D363" s="37" t="s">
        <v>15</v>
      </c>
      <c r="E363" s="38">
        <v>23450</v>
      </c>
    </row>
    <row r="364" spans="2:5" x14ac:dyDescent="0.4">
      <c r="B364" s="35">
        <v>14</v>
      </c>
      <c r="C364" s="36">
        <v>42795</v>
      </c>
      <c r="D364" s="37" t="s">
        <v>15</v>
      </c>
      <c r="E364" s="38">
        <v>23450</v>
      </c>
    </row>
    <row r="365" spans="2:5" x14ac:dyDescent="0.4">
      <c r="B365" s="35">
        <v>14</v>
      </c>
      <c r="C365" s="36">
        <v>42887</v>
      </c>
      <c r="D365" s="37" t="s">
        <v>15</v>
      </c>
      <c r="E365" s="38">
        <v>23450</v>
      </c>
    </row>
    <row r="366" spans="2:5" x14ac:dyDescent="0.4">
      <c r="B366" s="35">
        <v>14</v>
      </c>
      <c r="C366" s="36">
        <v>42979</v>
      </c>
      <c r="D366" s="37" t="s">
        <v>15</v>
      </c>
      <c r="E366" s="38">
        <v>23450</v>
      </c>
    </row>
    <row r="367" spans="2:5" x14ac:dyDescent="0.4">
      <c r="B367" s="35">
        <v>14</v>
      </c>
      <c r="C367" s="36">
        <v>42522</v>
      </c>
      <c r="D367" s="37" t="s">
        <v>14</v>
      </c>
      <c r="E367" s="38">
        <v>21775.25</v>
      </c>
    </row>
    <row r="368" spans="2:5" x14ac:dyDescent="0.4">
      <c r="B368" s="35">
        <v>14</v>
      </c>
      <c r="C368" s="36">
        <v>42887</v>
      </c>
      <c r="D368" s="37" t="s">
        <v>14</v>
      </c>
      <c r="E368" s="38">
        <v>17515.75</v>
      </c>
    </row>
    <row r="369" spans="2:5" x14ac:dyDescent="0.4">
      <c r="B369" s="35">
        <v>15</v>
      </c>
      <c r="C369" s="36">
        <v>41883</v>
      </c>
      <c r="D369" s="37" t="s">
        <v>2</v>
      </c>
      <c r="E369" s="38">
        <v>38688.109178082188</v>
      </c>
    </row>
    <row r="370" spans="2:5" x14ac:dyDescent="0.4">
      <c r="B370" s="35">
        <v>15</v>
      </c>
      <c r="C370" s="36">
        <v>41974</v>
      </c>
      <c r="D370" s="37" t="s">
        <v>2</v>
      </c>
      <c r="E370" s="38">
        <v>38429.597260273971</v>
      </c>
    </row>
    <row r="371" spans="2:5" x14ac:dyDescent="0.4">
      <c r="B371" s="35">
        <v>15</v>
      </c>
      <c r="C371" s="36">
        <v>42064</v>
      </c>
      <c r="D371" s="37" t="s">
        <v>2</v>
      </c>
      <c r="E371" s="38">
        <v>37594.171232876717</v>
      </c>
    </row>
    <row r="372" spans="2:5" x14ac:dyDescent="0.4">
      <c r="B372" s="35">
        <v>15</v>
      </c>
      <c r="C372" s="36">
        <v>42156</v>
      </c>
      <c r="D372" s="37" t="s">
        <v>2</v>
      </c>
      <c r="E372" s="38">
        <v>38011.884246575333</v>
      </c>
    </row>
    <row r="373" spans="2:5" x14ac:dyDescent="0.4">
      <c r="B373" s="35">
        <v>15</v>
      </c>
      <c r="C373" s="36">
        <v>42248</v>
      </c>
      <c r="D373" s="37" t="s">
        <v>2</v>
      </c>
      <c r="E373" s="38">
        <v>38444.380558062512</v>
      </c>
    </row>
    <row r="374" spans="2:5" x14ac:dyDescent="0.4">
      <c r="B374" s="35">
        <v>15</v>
      </c>
      <c r="C374" s="36">
        <v>42339</v>
      </c>
      <c r="D374" s="37" t="s">
        <v>2</v>
      </c>
      <c r="E374" s="38">
        <v>40324.341991394991</v>
      </c>
    </row>
    <row r="375" spans="2:5" x14ac:dyDescent="0.4">
      <c r="B375" s="35">
        <v>15</v>
      </c>
      <c r="C375" s="36">
        <v>42430</v>
      </c>
      <c r="D375" s="37" t="s">
        <v>2</v>
      </c>
      <c r="E375" s="38">
        <v>39886.034877500002</v>
      </c>
    </row>
    <row r="376" spans="2:5" x14ac:dyDescent="0.4">
      <c r="B376" s="35">
        <v>15</v>
      </c>
      <c r="C376" s="36">
        <v>42522</v>
      </c>
      <c r="D376" s="37" t="s">
        <v>2</v>
      </c>
      <c r="E376" s="38">
        <v>39886.033460000006</v>
      </c>
    </row>
    <row r="377" spans="2:5" x14ac:dyDescent="0.4">
      <c r="B377" s="35">
        <v>15</v>
      </c>
      <c r="C377" s="36">
        <v>42614</v>
      </c>
      <c r="D377" s="37" t="s">
        <v>2</v>
      </c>
      <c r="E377" s="38">
        <v>40374.918902500016</v>
      </c>
    </row>
    <row r="378" spans="2:5" x14ac:dyDescent="0.4">
      <c r="B378" s="35">
        <v>15</v>
      </c>
      <c r="C378" s="36">
        <v>42705</v>
      </c>
      <c r="D378" s="37" t="s">
        <v>2</v>
      </c>
      <c r="E378" s="38">
        <v>40546.133663000022</v>
      </c>
    </row>
    <row r="379" spans="2:5" x14ac:dyDescent="0.4">
      <c r="B379" s="35">
        <v>15</v>
      </c>
      <c r="C379" s="36">
        <v>42795</v>
      </c>
      <c r="D379" s="37" t="s">
        <v>2</v>
      </c>
      <c r="E379" s="38">
        <v>40353.694692500001</v>
      </c>
    </row>
    <row r="380" spans="2:5" x14ac:dyDescent="0.4">
      <c r="B380" s="35">
        <v>15</v>
      </c>
      <c r="C380" s="36">
        <v>42887</v>
      </c>
      <c r="D380" s="37" t="s">
        <v>2</v>
      </c>
      <c r="E380" s="38">
        <v>40223.520259999998</v>
      </c>
    </row>
    <row r="381" spans="2:5" x14ac:dyDescent="0.4">
      <c r="B381" s="35">
        <v>15</v>
      </c>
      <c r="C381" s="36">
        <v>42979</v>
      </c>
      <c r="D381" s="37" t="s">
        <v>2</v>
      </c>
      <c r="E381" s="38">
        <v>40353.689302499988</v>
      </c>
    </row>
    <row r="382" spans="2:5" x14ac:dyDescent="0.4">
      <c r="B382" s="35">
        <v>15</v>
      </c>
      <c r="C382" s="36">
        <v>42156</v>
      </c>
      <c r="D382" s="37" t="s">
        <v>16</v>
      </c>
      <c r="E382" s="38">
        <v>7221.2802047146388</v>
      </c>
    </row>
    <row r="383" spans="2:5" x14ac:dyDescent="0.4">
      <c r="B383" s="35">
        <v>15</v>
      </c>
      <c r="C383" s="36">
        <v>42248</v>
      </c>
      <c r="D383" s="37" t="s">
        <v>16</v>
      </c>
      <c r="E383" s="38">
        <v>8971.1329813285629</v>
      </c>
    </row>
    <row r="384" spans="2:5" x14ac:dyDescent="0.4">
      <c r="B384" s="35">
        <v>15</v>
      </c>
      <c r="C384" s="36">
        <v>42339</v>
      </c>
      <c r="D384" s="37" t="s">
        <v>16</v>
      </c>
      <c r="E384" s="38">
        <v>8971.1329813285593</v>
      </c>
    </row>
    <row r="385" spans="2:5" x14ac:dyDescent="0.4">
      <c r="B385" s="35">
        <v>15</v>
      </c>
      <c r="C385" s="36">
        <v>42430</v>
      </c>
      <c r="D385" s="37" t="s">
        <v>16</v>
      </c>
      <c r="E385" s="38">
        <v>8965.2231253305126</v>
      </c>
    </row>
    <row r="386" spans="2:5" x14ac:dyDescent="0.4">
      <c r="B386" s="35">
        <v>15</v>
      </c>
      <c r="C386" s="36">
        <v>42522</v>
      </c>
      <c r="D386" s="37" t="s">
        <v>16</v>
      </c>
      <c r="E386" s="38">
        <v>9355.2482072977273</v>
      </c>
    </row>
    <row r="387" spans="2:5" x14ac:dyDescent="0.4">
      <c r="B387" s="35">
        <v>15</v>
      </c>
      <c r="C387" s="36">
        <v>42614</v>
      </c>
      <c r="D387" s="37" t="s">
        <v>16</v>
      </c>
      <c r="E387" s="38">
        <v>9540.9041095890425</v>
      </c>
    </row>
    <row r="388" spans="2:5" x14ac:dyDescent="0.4">
      <c r="B388" s="35">
        <v>15</v>
      </c>
      <c r="C388" s="36">
        <v>42705</v>
      </c>
      <c r="D388" s="37" t="s">
        <v>16</v>
      </c>
      <c r="E388" s="38">
        <v>9540.9041095890389</v>
      </c>
    </row>
    <row r="389" spans="2:5" x14ac:dyDescent="0.4">
      <c r="B389" s="35">
        <v>15</v>
      </c>
      <c r="C389" s="36">
        <v>42795</v>
      </c>
      <c r="D389" s="37" t="s">
        <v>16</v>
      </c>
      <c r="E389" s="38">
        <v>9333.4931506849316</v>
      </c>
    </row>
    <row r="390" spans="2:5" x14ac:dyDescent="0.4">
      <c r="B390" s="35">
        <v>15</v>
      </c>
      <c r="C390" s="36">
        <v>42887</v>
      </c>
      <c r="D390" s="37" t="s">
        <v>16</v>
      </c>
      <c r="E390" s="38">
        <v>9437.1986301369852</v>
      </c>
    </row>
    <row r="391" spans="2:5" x14ac:dyDescent="0.4">
      <c r="B391" s="35">
        <v>15</v>
      </c>
      <c r="C391" s="36">
        <v>42979</v>
      </c>
      <c r="D391" s="37" t="s">
        <v>16</v>
      </c>
      <c r="E391" s="38">
        <v>9540.9041095890425</v>
      </c>
    </row>
    <row r="392" spans="2:5" x14ac:dyDescent="0.4">
      <c r="B392" s="35">
        <v>15</v>
      </c>
      <c r="C392" s="36">
        <v>41883</v>
      </c>
      <c r="D392" s="37" t="s">
        <v>15</v>
      </c>
      <c r="E392" s="38">
        <v>7350</v>
      </c>
    </row>
    <row r="393" spans="2:5" x14ac:dyDescent="0.4">
      <c r="B393" s="35">
        <v>15</v>
      </c>
      <c r="C393" s="36">
        <v>42705</v>
      </c>
      <c r="D393" s="37" t="s">
        <v>14</v>
      </c>
      <c r="E393" s="38">
        <v>4812.5</v>
      </c>
    </row>
    <row r="394" spans="2:5" x14ac:dyDescent="0.4">
      <c r="B394" s="35">
        <v>16</v>
      </c>
      <c r="C394" s="36">
        <v>42248</v>
      </c>
      <c r="D394" s="37" t="s">
        <v>1</v>
      </c>
      <c r="E394" s="38">
        <v>26376.18169398907</v>
      </c>
    </row>
    <row r="395" spans="2:5" x14ac:dyDescent="0.4">
      <c r="B395" s="35">
        <v>16</v>
      </c>
      <c r="C395" s="36">
        <v>42339</v>
      </c>
      <c r="D395" s="37" t="s">
        <v>1</v>
      </c>
      <c r="E395" s="38">
        <v>51629.972677595637</v>
      </c>
    </row>
    <row r="396" spans="2:5" x14ac:dyDescent="0.4">
      <c r="B396" s="35">
        <v>16</v>
      </c>
      <c r="C396" s="36">
        <v>42430</v>
      </c>
      <c r="D396" s="37" t="s">
        <v>1</v>
      </c>
      <c r="E396" s="38">
        <v>51068.777322404363</v>
      </c>
    </row>
    <row r="397" spans="2:5" x14ac:dyDescent="0.4">
      <c r="B397" s="35">
        <v>16</v>
      </c>
      <c r="C397" s="36">
        <v>42522</v>
      </c>
      <c r="D397" s="37" t="s">
        <v>1</v>
      </c>
      <c r="E397" s="38">
        <v>51068.77732240437</v>
      </c>
    </row>
    <row r="398" spans="2:5" x14ac:dyDescent="0.4">
      <c r="B398" s="35">
        <v>16</v>
      </c>
      <c r="C398" s="36">
        <v>42614</v>
      </c>
      <c r="D398" s="37" t="s">
        <v>1</v>
      </c>
      <c r="E398" s="38">
        <v>51702.236189085976</v>
      </c>
    </row>
    <row r="399" spans="2:5" x14ac:dyDescent="0.4">
      <c r="B399" s="35">
        <v>16</v>
      </c>
      <c r="C399" s="36">
        <v>42705</v>
      </c>
      <c r="D399" s="37" t="s">
        <v>1</v>
      </c>
      <c r="E399" s="38">
        <v>51771.424657534255</v>
      </c>
    </row>
    <row r="400" spans="2:5" x14ac:dyDescent="0.4">
      <c r="B400" s="35">
        <v>16</v>
      </c>
      <c r="C400" s="36">
        <v>42795</v>
      </c>
      <c r="D400" s="37" t="s">
        <v>1</v>
      </c>
      <c r="E400" s="38">
        <v>50645.95890410959</v>
      </c>
    </row>
    <row r="401" spans="2:5" x14ac:dyDescent="0.4">
      <c r="B401" s="35">
        <v>16</v>
      </c>
      <c r="C401" s="36">
        <v>42887</v>
      </c>
      <c r="D401" s="37" t="s">
        <v>1</v>
      </c>
      <c r="E401" s="38">
        <v>51208.691780821922</v>
      </c>
    </row>
    <row r="402" spans="2:5" x14ac:dyDescent="0.4">
      <c r="B402" s="35">
        <v>16</v>
      </c>
      <c r="C402" s="36">
        <v>42979</v>
      </c>
      <c r="D402" s="37" t="s">
        <v>1</v>
      </c>
      <c r="E402" s="38">
        <v>48172.705479452052</v>
      </c>
    </row>
    <row r="403" spans="2:5" x14ac:dyDescent="0.4">
      <c r="B403" s="35">
        <v>16</v>
      </c>
      <c r="C403" s="36">
        <v>41883</v>
      </c>
      <c r="D403" s="37" t="s">
        <v>2</v>
      </c>
      <c r="E403" s="38">
        <v>18840.969863013703</v>
      </c>
    </row>
    <row r="404" spans="2:5" x14ac:dyDescent="0.4">
      <c r="B404" s="35">
        <v>16</v>
      </c>
      <c r="C404" s="36">
        <v>41974</v>
      </c>
      <c r="D404" s="37" t="s">
        <v>2</v>
      </c>
      <c r="E404" s="38">
        <v>18840.969863013703</v>
      </c>
    </row>
    <row r="405" spans="2:5" x14ac:dyDescent="0.4">
      <c r="B405" s="35">
        <v>16</v>
      </c>
      <c r="C405" s="36">
        <v>42064</v>
      </c>
      <c r="D405" s="37" t="s">
        <v>2</v>
      </c>
      <c r="E405" s="38">
        <v>18431.383561643837</v>
      </c>
    </row>
    <row r="406" spans="2:5" x14ac:dyDescent="0.4">
      <c r="B406" s="35">
        <v>16</v>
      </c>
      <c r="C406" s="36">
        <v>42156</v>
      </c>
      <c r="D406" s="37" t="s">
        <v>2</v>
      </c>
      <c r="E406" s="38">
        <v>18635.617168201214</v>
      </c>
    </row>
    <row r="407" spans="2:5" x14ac:dyDescent="0.4">
      <c r="B407" s="35">
        <v>16</v>
      </c>
      <c r="C407" s="36">
        <v>42248</v>
      </c>
      <c r="D407" s="37" t="s">
        <v>2</v>
      </c>
      <c r="E407" s="38">
        <v>19684.171128527494</v>
      </c>
    </row>
    <row r="408" spans="2:5" x14ac:dyDescent="0.4">
      <c r="B408" s="35">
        <v>16</v>
      </c>
      <c r="C408" s="36">
        <v>42339</v>
      </c>
      <c r="D408" s="37" t="s">
        <v>2</v>
      </c>
      <c r="E408" s="38">
        <v>19674.550908915</v>
      </c>
    </row>
    <row r="409" spans="2:5" x14ac:dyDescent="0.4">
      <c r="B409" s="35">
        <v>16</v>
      </c>
      <c r="C409" s="36">
        <v>42430</v>
      </c>
      <c r="D409" s="37" t="s">
        <v>2</v>
      </c>
      <c r="E409" s="38">
        <v>19460.696272499994</v>
      </c>
    </row>
    <row r="410" spans="2:5" x14ac:dyDescent="0.4">
      <c r="B410" s="35">
        <v>16</v>
      </c>
      <c r="C410" s="36">
        <v>42522</v>
      </c>
      <c r="D410" s="37" t="s">
        <v>2</v>
      </c>
      <c r="E410" s="38">
        <v>19246.842877500003</v>
      </c>
    </row>
    <row r="411" spans="2:5" x14ac:dyDescent="0.4">
      <c r="B411" s="35">
        <v>16</v>
      </c>
      <c r="C411" s="36">
        <v>41974</v>
      </c>
      <c r="D411" s="37" t="s">
        <v>15</v>
      </c>
      <c r="E411" s="38">
        <v>2975</v>
      </c>
    </row>
    <row r="412" spans="2:5" x14ac:dyDescent="0.4">
      <c r="B412" s="35">
        <v>16</v>
      </c>
      <c r="C412" s="36">
        <v>42156</v>
      </c>
      <c r="D412" s="37" t="s">
        <v>15</v>
      </c>
      <c r="E412" s="38">
        <v>1557.5</v>
      </c>
    </row>
    <row r="413" spans="2:5" x14ac:dyDescent="0.4">
      <c r="B413" s="35">
        <v>16</v>
      </c>
      <c r="C413" s="36">
        <v>42248</v>
      </c>
      <c r="D413" s="37" t="s">
        <v>15</v>
      </c>
      <c r="E413" s="38">
        <v>3570</v>
      </c>
    </row>
    <row r="414" spans="2:5" x14ac:dyDescent="0.4">
      <c r="B414" s="35">
        <v>16</v>
      </c>
      <c r="C414" s="36">
        <v>42430</v>
      </c>
      <c r="D414" s="37" t="s">
        <v>15</v>
      </c>
      <c r="E414" s="38">
        <v>5950</v>
      </c>
    </row>
    <row r="415" spans="2:5" x14ac:dyDescent="0.4">
      <c r="B415" s="35">
        <v>16</v>
      </c>
      <c r="C415" s="36">
        <v>42614</v>
      </c>
      <c r="D415" s="37" t="s">
        <v>15</v>
      </c>
      <c r="E415" s="38">
        <v>7000</v>
      </c>
    </row>
    <row r="416" spans="2:5" x14ac:dyDescent="0.4">
      <c r="B416" s="35">
        <v>16</v>
      </c>
      <c r="C416" s="36">
        <v>42887</v>
      </c>
      <c r="D416" s="37" t="s">
        <v>15</v>
      </c>
      <c r="E416" s="38">
        <v>7000</v>
      </c>
    </row>
    <row r="417" spans="2:5" x14ac:dyDescent="0.4">
      <c r="B417" s="35">
        <v>17</v>
      </c>
      <c r="C417" s="36">
        <v>41883</v>
      </c>
      <c r="D417" s="37" t="s">
        <v>1</v>
      </c>
      <c r="E417" s="38">
        <v>18746.57534246576</v>
      </c>
    </row>
    <row r="418" spans="2:5" x14ac:dyDescent="0.4">
      <c r="B418" s="35">
        <v>17</v>
      </c>
      <c r="C418" s="36">
        <v>41974</v>
      </c>
      <c r="D418" s="37" t="s">
        <v>1</v>
      </c>
      <c r="E418" s="38">
        <v>18746.575342465752</v>
      </c>
    </row>
    <row r="419" spans="2:5" x14ac:dyDescent="0.4">
      <c r="B419" s="35">
        <v>17</v>
      </c>
      <c r="C419" s="36">
        <v>42064</v>
      </c>
      <c r="D419" s="37" t="s">
        <v>1</v>
      </c>
      <c r="E419" s="38">
        <v>18337.379950863611</v>
      </c>
    </row>
    <row r="420" spans="2:5" x14ac:dyDescent="0.4">
      <c r="B420" s="35">
        <v>17</v>
      </c>
      <c r="C420" s="36">
        <v>42156</v>
      </c>
      <c r="D420" s="37" t="s">
        <v>1</v>
      </c>
      <c r="E420" s="38">
        <v>18391.644021739135</v>
      </c>
    </row>
    <row r="421" spans="2:5" x14ac:dyDescent="0.4">
      <c r="B421" s="35">
        <v>17</v>
      </c>
      <c r="C421" s="36">
        <v>42248</v>
      </c>
      <c r="D421" s="37" t="s">
        <v>1</v>
      </c>
      <c r="E421" s="38">
        <v>18593.75</v>
      </c>
    </row>
    <row r="422" spans="2:5" x14ac:dyDescent="0.4">
      <c r="B422" s="35">
        <v>17</v>
      </c>
      <c r="C422" s="36">
        <v>42339</v>
      </c>
      <c r="D422" s="37" t="s">
        <v>1</v>
      </c>
      <c r="E422" s="38">
        <v>20376.54159698997</v>
      </c>
    </row>
    <row r="423" spans="2:5" x14ac:dyDescent="0.4">
      <c r="B423" s="35">
        <v>17</v>
      </c>
      <c r="C423" s="36">
        <v>42430</v>
      </c>
      <c r="D423" s="37" t="s">
        <v>1</v>
      </c>
      <c r="E423" s="38">
        <v>30853.365384615383</v>
      </c>
    </row>
    <row r="424" spans="2:5" x14ac:dyDescent="0.4">
      <c r="B424" s="35">
        <v>17</v>
      </c>
      <c r="C424" s="36">
        <v>42522</v>
      </c>
      <c r="D424" s="37" t="s">
        <v>1</v>
      </c>
      <c r="E424" s="38">
        <v>18593.75</v>
      </c>
    </row>
    <row r="425" spans="2:5" x14ac:dyDescent="0.4">
      <c r="B425" s="35">
        <v>17</v>
      </c>
      <c r="C425" s="36">
        <v>42614</v>
      </c>
      <c r="D425" s="37" t="s">
        <v>1</v>
      </c>
      <c r="E425" s="38">
        <v>18593.75</v>
      </c>
    </row>
    <row r="426" spans="2:5" x14ac:dyDescent="0.4">
      <c r="B426" s="35">
        <v>17</v>
      </c>
      <c r="C426" s="36">
        <v>42705</v>
      </c>
      <c r="D426" s="37" t="s">
        <v>1</v>
      </c>
      <c r="E426" s="38">
        <v>18593.75</v>
      </c>
    </row>
    <row r="427" spans="2:5" x14ac:dyDescent="0.4">
      <c r="B427" s="35">
        <v>17</v>
      </c>
      <c r="C427" s="36">
        <v>42795</v>
      </c>
      <c r="D427" s="37" t="s">
        <v>1</v>
      </c>
      <c r="E427" s="38">
        <v>29722.154747191023</v>
      </c>
    </row>
    <row r="428" spans="2:5" x14ac:dyDescent="0.4">
      <c r="B428" s="35">
        <v>17</v>
      </c>
      <c r="C428" s="36">
        <v>42887</v>
      </c>
      <c r="D428" s="37" t="s">
        <v>1</v>
      </c>
      <c r="E428" s="38">
        <v>7363.7400615521583</v>
      </c>
    </row>
    <row r="429" spans="2:5" x14ac:dyDescent="0.4">
      <c r="B429" s="35">
        <v>17</v>
      </c>
      <c r="C429" s="36">
        <v>42979</v>
      </c>
      <c r="D429" s="37" t="s">
        <v>1</v>
      </c>
      <c r="E429" s="38">
        <v>18695.355191256829</v>
      </c>
    </row>
    <row r="430" spans="2:5" x14ac:dyDescent="0.4">
      <c r="B430" s="35">
        <v>17</v>
      </c>
      <c r="C430" s="36">
        <v>42156</v>
      </c>
      <c r="D430" s="37" t="s">
        <v>16</v>
      </c>
      <c r="E430" s="38">
        <v>1785</v>
      </c>
    </row>
    <row r="431" spans="2:5" x14ac:dyDescent="0.4">
      <c r="B431" s="35">
        <v>17</v>
      </c>
      <c r="C431" s="36">
        <v>42248</v>
      </c>
      <c r="D431" s="37" t="s">
        <v>16</v>
      </c>
      <c r="E431" s="38">
        <v>1785</v>
      </c>
    </row>
    <row r="432" spans="2:5" x14ac:dyDescent="0.4">
      <c r="B432" s="35">
        <v>17</v>
      </c>
      <c r="C432" s="36">
        <v>42339</v>
      </c>
      <c r="D432" s="37" t="s">
        <v>16</v>
      </c>
      <c r="E432" s="38">
        <v>1785.0000000000002</v>
      </c>
    </row>
    <row r="433" spans="2:5" x14ac:dyDescent="0.4">
      <c r="B433" s="35">
        <v>17</v>
      </c>
      <c r="C433" s="36">
        <v>42430</v>
      </c>
      <c r="D433" s="37" t="s">
        <v>16</v>
      </c>
      <c r="E433" s="38">
        <v>1784.9999999999998</v>
      </c>
    </row>
    <row r="434" spans="2:5" x14ac:dyDescent="0.4">
      <c r="B434" s="35">
        <v>17</v>
      </c>
      <c r="C434" s="36">
        <v>42522</v>
      </c>
      <c r="D434" s="37" t="s">
        <v>16</v>
      </c>
      <c r="E434" s="38">
        <v>1784.9999999999998</v>
      </c>
    </row>
    <row r="435" spans="2:5" x14ac:dyDescent="0.4">
      <c r="B435" s="35">
        <v>17</v>
      </c>
      <c r="C435" s="36">
        <v>42614</v>
      </c>
      <c r="D435" s="37" t="s">
        <v>16</v>
      </c>
      <c r="E435" s="38">
        <v>1785</v>
      </c>
    </row>
    <row r="436" spans="2:5" x14ac:dyDescent="0.4">
      <c r="B436" s="35">
        <v>17</v>
      </c>
      <c r="C436" s="36">
        <v>42705</v>
      </c>
      <c r="D436" s="37" t="s">
        <v>16</v>
      </c>
      <c r="E436" s="38">
        <v>1785</v>
      </c>
    </row>
    <row r="437" spans="2:5" x14ac:dyDescent="0.4">
      <c r="B437" s="35">
        <v>17</v>
      </c>
      <c r="C437" s="36">
        <v>42795</v>
      </c>
      <c r="D437" s="37" t="s">
        <v>16</v>
      </c>
      <c r="E437" s="38">
        <v>1785</v>
      </c>
    </row>
    <row r="438" spans="2:5" x14ac:dyDescent="0.4">
      <c r="B438" s="35">
        <v>17</v>
      </c>
      <c r="C438" s="36">
        <v>42887</v>
      </c>
      <c r="D438" s="37" t="s">
        <v>16</v>
      </c>
      <c r="E438" s="38">
        <v>1775.2284016393439</v>
      </c>
    </row>
    <row r="439" spans="2:5" x14ac:dyDescent="0.4">
      <c r="B439" s="35">
        <v>17</v>
      </c>
      <c r="C439" s="36">
        <v>42979</v>
      </c>
      <c r="D439" s="37" t="s">
        <v>16</v>
      </c>
      <c r="E439" s="38">
        <v>1794.7540983606559</v>
      </c>
    </row>
    <row r="440" spans="2:5" x14ac:dyDescent="0.4">
      <c r="B440" s="35">
        <v>17</v>
      </c>
      <c r="C440" s="36">
        <v>41883</v>
      </c>
      <c r="D440" s="37" t="s">
        <v>15</v>
      </c>
      <c r="E440" s="38">
        <v>23450</v>
      </c>
    </row>
    <row r="441" spans="2:5" x14ac:dyDescent="0.4">
      <c r="B441" s="35">
        <v>17</v>
      </c>
      <c r="C441" s="36">
        <v>42339</v>
      </c>
      <c r="D441" s="37" t="s">
        <v>15</v>
      </c>
      <c r="E441" s="38">
        <v>23450</v>
      </c>
    </row>
    <row r="442" spans="2:5" x14ac:dyDescent="0.4">
      <c r="B442" s="35">
        <v>17</v>
      </c>
      <c r="C442" s="36">
        <v>42705</v>
      </c>
      <c r="D442" s="37" t="s">
        <v>15</v>
      </c>
      <c r="E442" s="38">
        <v>23450</v>
      </c>
    </row>
    <row r="443" spans="2:5" x14ac:dyDescent="0.4">
      <c r="B443" s="35">
        <v>17</v>
      </c>
      <c r="C443" s="36">
        <v>42979</v>
      </c>
      <c r="D443" s="37" t="s">
        <v>15</v>
      </c>
      <c r="E443" s="38">
        <v>23450</v>
      </c>
    </row>
    <row r="444" spans="2:5" x14ac:dyDescent="0.4">
      <c r="B444" s="35">
        <v>17</v>
      </c>
      <c r="C444" s="36">
        <v>42248</v>
      </c>
      <c r="D444" s="37" t="s">
        <v>17</v>
      </c>
      <c r="E444" s="38">
        <v>2915.2725</v>
      </c>
    </row>
    <row r="445" spans="2:5" x14ac:dyDescent="0.4">
      <c r="B445" s="35">
        <v>17</v>
      </c>
      <c r="C445" s="36">
        <v>42339</v>
      </c>
      <c r="D445" s="37" t="s">
        <v>17</v>
      </c>
      <c r="E445" s="38">
        <v>397.6</v>
      </c>
    </row>
    <row r="446" spans="2:5" x14ac:dyDescent="0.4">
      <c r="B446" s="35">
        <v>17</v>
      </c>
      <c r="C446" s="36">
        <v>42430</v>
      </c>
      <c r="D446" s="37" t="s">
        <v>17</v>
      </c>
      <c r="E446" s="38">
        <v>616.12249999999995</v>
      </c>
    </row>
    <row r="447" spans="2:5" x14ac:dyDescent="0.4">
      <c r="B447" s="35">
        <v>17</v>
      </c>
      <c r="C447" s="36">
        <v>42522</v>
      </c>
      <c r="D447" s="37" t="s">
        <v>17</v>
      </c>
      <c r="E447" s="38">
        <v>1232.2275</v>
      </c>
    </row>
    <row r="448" spans="2:5" x14ac:dyDescent="0.4">
      <c r="B448" s="35">
        <v>18</v>
      </c>
      <c r="C448" s="36">
        <v>41883</v>
      </c>
      <c r="D448" s="37" t="s">
        <v>2</v>
      </c>
      <c r="E448" s="38">
        <v>23003.150684931505</v>
      </c>
    </row>
    <row r="449" spans="2:5" x14ac:dyDescent="0.4">
      <c r="B449" s="35">
        <v>18</v>
      </c>
      <c r="C449" s="36">
        <v>41974</v>
      </c>
      <c r="D449" s="37" t="s">
        <v>2</v>
      </c>
      <c r="E449" s="38">
        <v>23003.150684931505</v>
      </c>
    </row>
    <row r="450" spans="2:5" x14ac:dyDescent="0.4">
      <c r="B450" s="35">
        <v>18</v>
      </c>
      <c r="C450" s="36">
        <v>42064</v>
      </c>
      <c r="D450" s="37" t="s">
        <v>2</v>
      </c>
      <c r="E450" s="38">
        <v>22503.082191780817</v>
      </c>
    </row>
    <row r="451" spans="2:5" x14ac:dyDescent="0.4">
      <c r="B451" s="35">
        <v>18</v>
      </c>
      <c r="C451" s="36">
        <v>42156</v>
      </c>
      <c r="D451" s="37" t="s">
        <v>2</v>
      </c>
      <c r="E451" s="38">
        <v>22710.76091024778</v>
      </c>
    </row>
    <row r="452" spans="2:5" x14ac:dyDescent="0.4">
      <c r="B452" s="35">
        <v>18</v>
      </c>
      <c r="C452" s="36">
        <v>42248</v>
      </c>
      <c r="D452" s="37" t="s">
        <v>2</v>
      </c>
      <c r="E452" s="38">
        <v>22940.300535162496</v>
      </c>
    </row>
    <row r="453" spans="2:5" x14ac:dyDescent="0.4">
      <c r="B453" s="35">
        <v>18</v>
      </c>
      <c r="C453" s="36">
        <v>42339</v>
      </c>
      <c r="D453" s="37" t="s">
        <v>2</v>
      </c>
      <c r="E453" s="38">
        <v>22940.300535162496</v>
      </c>
    </row>
    <row r="454" spans="2:5" x14ac:dyDescent="0.4">
      <c r="B454" s="35">
        <v>18</v>
      </c>
      <c r="C454" s="36">
        <v>42430</v>
      </c>
      <c r="D454" s="37" t="s">
        <v>2</v>
      </c>
      <c r="E454" s="38">
        <v>22690.948297499999</v>
      </c>
    </row>
    <row r="455" spans="2:5" x14ac:dyDescent="0.4">
      <c r="B455" s="35">
        <v>18</v>
      </c>
      <c r="C455" s="36">
        <v>42522</v>
      </c>
      <c r="D455" s="37" t="s">
        <v>2</v>
      </c>
      <c r="E455" s="38">
        <v>21765.721524750003</v>
      </c>
    </row>
    <row r="456" spans="2:5" x14ac:dyDescent="0.4">
      <c r="B456" s="35">
        <v>18</v>
      </c>
      <c r="C456" s="36">
        <v>42614</v>
      </c>
      <c r="D456" s="37" t="s">
        <v>2</v>
      </c>
      <c r="E456" s="38">
        <v>21567.382515000001</v>
      </c>
    </row>
    <row r="457" spans="2:5" x14ac:dyDescent="0.4">
      <c r="B457" s="35">
        <v>18</v>
      </c>
      <c r="C457" s="36">
        <v>42705</v>
      </c>
      <c r="D457" s="37" t="s">
        <v>2</v>
      </c>
      <c r="E457" s="38">
        <v>21567.382515000001</v>
      </c>
    </row>
    <row r="458" spans="2:5" x14ac:dyDescent="0.4">
      <c r="B458" s="35">
        <v>18</v>
      </c>
      <c r="C458" s="36">
        <v>42795</v>
      </c>
      <c r="D458" s="37" t="s">
        <v>2</v>
      </c>
      <c r="E458" s="38">
        <v>21098.526715000004</v>
      </c>
    </row>
    <row r="459" spans="2:5" x14ac:dyDescent="0.4">
      <c r="B459" s="35">
        <v>18</v>
      </c>
      <c r="C459" s="36">
        <v>42887</v>
      </c>
      <c r="D459" s="37" t="s">
        <v>2</v>
      </c>
      <c r="E459" s="38">
        <v>21332.954907250001</v>
      </c>
    </row>
    <row r="460" spans="2:5" x14ac:dyDescent="0.4">
      <c r="B460" s="35">
        <v>18</v>
      </c>
      <c r="C460" s="36">
        <v>42979</v>
      </c>
      <c r="D460" s="37" t="s">
        <v>2</v>
      </c>
      <c r="E460" s="38">
        <v>21567.382514999998</v>
      </c>
    </row>
    <row r="461" spans="2:5" x14ac:dyDescent="0.4">
      <c r="B461" s="35">
        <v>18</v>
      </c>
      <c r="C461" s="36">
        <v>42156</v>
      </c>
      <c r="D461" s="37" t="s">
        <v>16</v>
      </c>
      <c r="E461" s="38">
        <v>1096.4754098360668</v>
      </c>
    </row>
    <row r="462" spans="2:5" x14ac:dyDescent="0.4">
      <c r="B462" s="35">
        <v>18</v>
      </c>
      <c r="C462" s="36">
        <v>42248</v>
      </c>
      <c r="D462" s="37" t="s">
        <v>16</v>
      </c>
      <c r="E462" s="38">
        <v>4803.6065573770493</v>
      </c>
    </row>
    <row r="463" spans="2:5" x14ac:dyDescent="0.4">
      <c r="B463" s="35">
        <v>18</v>
      </c>
      <c r="C463" s="36">
        <v>42339</v>
      </c>
      <c r="D463" s="37" t="s">
        <v>16</v>
      </c>
      <c r="E463" s="38">
        <v>4803.6065573770475</v>
      </c>
    </row>
    <row r="464" spans="2:5" x14ac:dyDescent="0.4">
      <c r="B464" s="35">
        <v>18</v>
      </c>
      <c r="C464" s="36">
        <v>42430</v>
      </c>
      <c r="D464" s="37" t="s">
        <v>16</v>
      </c>
      <c r="E464" s="38">
        <v>4751.3934426229516</v>
      </c>
    </row>
    <row r="465" spans="2:5" x14ac:dyDescent="0.4">
      <c r="B465" s="35">
        <v>18</v>
      </c>
      <c r="C465" s="36">
        <v>42522</v>
      </c>
      <c r="D465" s="37" t="s">
        <v>16</v>
      </c>
      <c r="E465" s="38">
        <v>4754.3974848416783</v>
      </c>
    </row>
    <row r="466" spans="2:5" x14ac:dyDescent="0.4">
      <c r="B466" s="35">
        <v>18</v>
      </c>
      <c r="C466" s="36">
        <v>42614</v>
      </c>
      <c r="D466" s="37" t="s">
        <v>16</v>
      </c>
      <c r="E466" s="38">
        <v>4816.7671232876728</v>
      </c>
    </row>
    <row r="467" spans="2:5" x14ac:dyDescent="0.4">
      <c r="B467" s="35">
        <v>18</v>
      </c>
      <c r="C467" s="36">
        <v>42705</v>
      </c>
      <c r="D467" s="37" t="s">
        <v>16</v>
      </c>
      <c r="E467" s="38">
        <v>4981.7671232876719</v>
      </c>
    </row>
    <row r="468" spans="2:5" x14ac:dyDescent="0.4">
      <c r="B468" s="35">
        <v>18</v>
      </c>
      <c r="C468" s="36">
        <v>42795</v>
      </c>
      <c r="D468" s="37" t="s">
        <v>16</v>
      </c>
      <c r="E468" s="38">
        <v>5387.0547945205462</v>
      </c>
    </row>
    <row r="469" spans="2:5" x14ac:dyDescent="0.4">
      <c r="B469" s="35">
        <v>18</v>
      </c>
      <c r="C469" s="36">
        <v>42887</v>
      </c>
      <c r="D469" s="37" t="s">
        <v>16</v>
      </c>
      <c r="E469" s="38">
        <v>6526.7328767123236</v>
      </c>
    </row>
    <row r="470" spans="2:5" x14ac:dyDescent="0.4">
      <c r="B470" s="35">
        <v>18</v>
      </c>
      <c r="C470" s="36">
        <v>42979</v>
      </c>
      <c r="D470" s="37" t="s">
        <v>16</v>
      </c>
      <c r="E470" s="38">
        <v>8629.4851523071411</v>
      </c>
    </row>
    <row r="471" spans="2:5" x14ac:dyDescent="0.4">
      <c r="B471" s="35">
        <v>18</v>
      </c>
      <c r="C471" s="36">
        <v>41883</v>
      </c>
      <c r="D471" s="37" t="s">
        <v>15</v>
      </c>
      <c r="E471" s="38">
        <v>13300</v>
      </c>
    </row>
    <row r="472" spans="2:5" x14ac:dyDescent="0.4">
      <c r="B472" s="35">
        <v>18</v>
      </c>
      <c r="C472" s="36">
        <v>41974</v>
      </c>
      <c r="D472" s="37" t="s">
        <v>15</v>
      </c>
      <c r="E472" s="38">
        <v>13300</v>
      </c>
    </row>
    <row r="473" spans="2:5" x14ac:dyDescent="0.4">
      <c r="B473" s="35">
        <v>18</v>
      </c>
      <c r="C473" s="36">
        <v>42064</v>
      </c>
      <c r="D473" s="37" t="s">
        <v>15</v>
      </c>
      <c r="E473" s="38">
        <v>13300</v>
      </c>
    </row>
    <row r="474" spans="2:5" x14ac:dyDescent="0.4">
      <c r="B474" s="35">
        <v>18</v>
      </c>
      <c r="C474" s="36">
        <v>42156</v>
      </c>
      <c r="D474" s="37" t="s">
        <v>15</v>
      </c>
      <c r="E474" s="38">
        <v>13300</v>
      </c>
    </row>
    <row r="475" spans="2:5" x14ac:dyDescent="0.4">
      <c r="B475" s="35">
        <v>18</v>
      </c>
      <c r="C475" s="36">
        <v>42248</v>
      </c>
      <c r="D475" s="37" t="s">
        <v>15</v>
      </c>
      <c r="E475" s="38">
        <v>13300</v>
      </c>
    </row>
    <row r="476" spans="2:5" x14ac:dyDescent="0.4">
      <c r="B476" s="35">
        <v>18</v>
      </c>
      <c r="C476" s="36">
        <v>42339</v>
      </c>
      <c r="D476" s="37" t="s">
        <v>15</v>
      </c>
      <c r="E476" s="38">
        <v>13300</v>
      </c>
    </row>
    <row r="477" spans="2:5" x14ac:dyDescent="0.4">
      <c r="B477" s="35">
        <v>18</v>
      </c>
      <c r="C477" s="36">
        <v>42430</v>
      </c>
      <c r="D477" s="37" t="s">
        <v>15</v>
      </c>
      <c r="E477" s="38">
        <v>26600</v>
      </c>
    </row>
    <row r="478" spans="2:5" x14ac:dyDescent="0.4">
      <c r="B478" s="35">
        <v>18</v>
      </c>
      <c r="C478" s="36">
        <v>42522</v>
      </c>
      <c r="D478" s="37" t="s">
        <v>15</v>
      </c>
      <c r="E478" s="38">
        <v>13300</v>
      </c>
    </row>
    <row r="479" spans="2:5" x14ac:dyDescent="0.4">
      <c r="B479" s="35">
        <v>18</v>
      </c>
      <c r="C479" s="36">
        <v>42614</v>
      </c>
      <c r="D479" s="37" t="s">
        <v>15</v>
      </c>
      <c r="E479" s="38">
        <v>26600</v>
      </c>
    </row>
    <row r="480" spans="2:5" x14ac:dyDescent="0.4">
      <c r="B480" s="35">
        <v>18</v>
      </c>
      <c r="C480" s="36">
        <v>42705</v>
      </c>
      <c r="D480" s="37" t="s">
        <v>15</v>
      </c>
      <c r="E480" s="38">
        <v>13300</v>
      </c>
    </row>
    <row r="481" spans="2:5" x14ac:dyDescent="0.4">
      <c r="B481" s="35">
        <v>18</v>
      </c>
      <c r="C481" s="36">
        <v>42795</v>
      </c>
      <c r="D481" s="37" t="s">
        <v>15</v>
      </c>
      <c r="E481" s="38">
        <v>13300</v>
      </c>
    </row>
    <row r="482" spans="2:5" x14ac:dyDescent="0.4">
      <c r="B482" s="35">
        <v>18</v>
      </c>
      <c r="C482" s="36">
        <v>42887</v>
      </c>
      <c r="D482" s="37" t="s">
        <v>15</v>
      </c>
      <c r="E482" s="38">
        <v>13300</v>
      </c>
    </row>
    <row r="483" spans="2:5" x14ac:dyDescent="0.4">
      <c r="B483" s="35">
        <v>18</v>
      </c>
      <c r="C483" s="36">
        <v>42979</v>
      </c>
      <c r="D483" s="37" t="s">
        <v>15</v>
      </c>
      <c r="E483" s="38">
        <v>13300</v>
      </c>
    </row>
    <row r="484" spans="2:5" x14ac:dyDescent="0.4">
      <c r="B484" s="35">
        <v>19</v>
      </c>
      <c r="C484" s="36">
        <v>42430</v>
      </c>
      <c r="D484" s="37" t="s">
        <v>2</v>
      </c>
      <c r="E484" s="38">
        <v>12008.197319999999</v>
      </c>
    </row>
    <row r="485" spans="2:5" x14ac:dyDescent="0.4">
      <c r="B485" s="35">
        <v>19</v>
      </c>
      <c r="C485" s="36">
        <v>42522</v>
      </c>
      <c r="D485" s="37" t="s">
        <v>2</v>
      </c>
      <c r="E485" s="38">
        <v>35249.868640000001</v>
      </c>
    </row>
    <row r="486" spans="2:5" x14ac:dyDescent="0.4">
      <c r="B486" s="35">
        <v>19</v>
      </c>
      <c r="C486" s="36">
        <v>42614</v>
      </c>
      <c r="D486" s="37" t="s">
        <v>2</v>
      </c>
      <c r="E486" s="38">
        <v>35637.230300000003</v>
      </c>
    </row>
    <row r="487" spans="2:5" x14ac:dyDescent="0.4">
      <c r="B487" s="35">
        <v>19</v>
      </c>
      <c r="C487" s="36">
        <v>42705</v>
      </c>
      <c r="D487" s="37" t="s">
        <v>2</v>
      </c>
      <c r="E487" s="38">
        <v>35637.230300000003</v>
      </c>
    </row>
    <row r="488" spans="2:5" x14ac:dyDescent="0.4">
      <c r="B488" s="35">
        <v>19</v>
      </c>
      <c r="C488" s="36">
        <v>42795</v>
      </c>
      <c r="D488" s="37" t="s">
        <v>2</v>
      </c>
      <c r="E488" s="38">
        <v>35264.924379999997</v>
      </c>
    </row>
    <row r="489" spans="2:5" x14ac:dyDescent="0.4">
      <c r="B489" s="35">
        <v>19</v>
      </c>
      <c r="C489" s="36">
        <v>42887</v>
      </c>
      <c r="D489" s="37" t="s">
        <v>2</v>
      </c>
      <c r="E489" s="38">
        <v>36431.159905</v>
      </c>
    </row>
    <row r="490" spans="2:5" x14ac:dyDescent="0.4">
      <c r="B490" s="35">
        <v>19</v>
      </c>
      <c r="C490" s="36">
        <v>42979</v>
      </c>
      <c r="D490" s="37" t="s">
        <v>2</v>
      </c>
      <c r="E490" s="38">
        <v>36831.499565000006</v>
      </c>
    </row>
    <row r="491" spans="2:5" x14ac:dyDescent="0.4">
      <c r="B491" s="35">
        <v>19</v>
      </c>
      <c r="C491" s="36">
        <v>42156</v>
      </c>
      <c r="D491" s="37" t="s">
        <v>16</v>
      </c>
      <c r="E491" s="38">
        <v>301.64158686730468</v>
      </c>
    </row>
    <row r="492" spans="2:5" x14ac:dyDescent="0.4">
      <c r="B492" s="35">
        <v>19</v>
      </c>
      <c r="C492" s="36">
        <v>42248</v>
      </c>
      <c r="D492" s="37" t="s">
        <v>16</v>
      </c>
      <c r="E492" s="38">
        <v>370.01367989056126</v>
      </c>
    </row>
    <row r="493" spans="2:5" x14ac:dyDescent="0.4">
      <c r="B493" s="35">
        <v>19</v>
      </c>
      <c r="C493" s="36">
        <v>42339</v>
      </c>
      <c r="D493" s="37" t="s">
        <v>16</v>
      </c>
      <c r="E493" s="38">
        <v>370.01367989056087</v>
      </c>
    </row>
    <row r="494" spans="2:5" x14ac:dyDescent="0.4">
      <c r="B494" s="35">
        <v>19</v>
      </c>
      <c r="C494" s="36">
        <v>42430</v>
      </c>
      <c r="D494" s="37" t="s">
        <v>16</v>
      </c>
      <c r="E494" s="38">
        <v>365.99179206566339</v>
      </c>
    </row>
    <row r="495" spans="2:5" x14ac:dyDescent="0.4">
      <c r="B495" s="35">
        <v>19</v>
      </c>
      <c r="C495" s="36">
        <v>42522</v>
      </c>
      <c r="D495" s="37" t="s">
        <v>16</v>
      </c>
      <c r="E495" s="38">
        <v>2985.428359229842</v>
      </c>
    </row>
    <row r="496" spans="2:5" x14ac:dyDescent="0.4">
      <c r="B496" s="35">
        <v>19</v>
      </c>
      <c r="C496" s="36">
        <v>42614</v>
      </c>
      <c r="D496" s="37" t="s">
        <v>16</v>
      </c>
      <c r="E496" s="38">
        <v>5725.3062172039945</v>
      </c>
    </row>
    <row r="497" spans="2:5" x14ac:dyDescent="0.4">
      <c r="B497" s="35">
        <v>19</v>
      </c>
      <c r="C497" s="36">
        <v>42705</v>
      </c>
      <c r="D497" s="37" t="s">
        <v>16</v>
      </c>
      <c r="E497" s="38">
        <v>5725.3062172039918</v>
      </c>
    </row>
    <row r="498" spans="2:5" x14ac:dyDescent="0.4">
      <c r="B498" s="35">
        <v>19</v>
      </c>
      <c r="C498" s="36">
        <v>42795</v>
      </c>
      <c r="D498" s="37" t="s">
        <v>16</v>
      </c>
      <c r="E498" s="38">
        <v>5600.8430385691245</v>
      </c>
    </row>
    <row r="499" spans="2:5" x14ac:dyDescent="0.4">
      <c r="B499" s="35">
        <v>19</v>
      </c>
      <c r="C499" s="36">
        <v>42887</v>
      </c>
      <c r="D499" s="37" t="s">
        <v>16</v>
      </c>
      <c r="E499" s="38">
        <v>5819.9520044214187</v>
      </c>
    </row>
    <row r="500" spans="2:5" x14ac:dyDescent="0.4">
      <c r="B500" s="35">
        <v>19</v>
      </c>
      <c r="C500" s="36">
        <v>42979</v>
      </c>
      <c r="D500" s="37" t="s">
        <v>16</v>
      </c>
      <c r="E500" s="38">
        <v>5917.7424657534266</v>
      </c>
    </row>
    <row r="501" spans="2:5" x14ac:dyDescent="0.4">
      <c r="B501" s="35">
        <v>19</v>
      </c>
      <c r="C501" s="36">
        <v>42522</v>
      </c>
      <c r="D501" s="37" t="s">
        <v>15</v>
      </c>
      <c r="E501" s="38">
        <v>385</v>
      </c>
    </row>
    <row r="502" spans="2:5" x14ac:dyDescent="0.4">
      <c r="B502" s="35">
        <v>20</v>
      </c>
      <c r="C502" s="36">
        <v>41883</v>
      </c>
      <c r="D502" s="37" t="s">
        <v>2</v>
      </c>
      <c r="E502" s="38">
        <v>35537.259589041096</v>
      </c>
    </row>
    <row r="503" spans="2:5" x14ac:dyDescent="0.4">
      <c r="B503" s="35">
        <v>20</v>
      </c>
      <c r="C503" s="36">
        <v>41974</v>
      </c>
      <c r="D503" s="37" t="s">
        <v>2</v>
      </c>
      <c r="E503" s="38">
        <v>35120.495890410959</v>
      </c>
    </row>
    <row r="504" spans="2:5" x14ac:dyDescent="0.4">
      <c r="B504" s="35">
        <v>20</v>
      </c>
      <c r="C504" s="36">
        <v>42064</v>
      </c>
      <c r="D504" s="37" t="s">
        <v>2</v>
      </c>
      <c r="E504" s="38">
        <v>34357.006849315061</v>
      </c>
    </row>
    <row r="505" spans="2:5" x14ac:dyDescent="0.4">
      <c r="B505" s="35">
        <v>20</v>
      </c>
      <c r="C505" s="36">
        <v>42156</v>
      </c>
      <c r="D505" s="37" t="s">
        <v>2</v>
      </c>
      <c r="E505" s="38">
        <v>34738.751369863014</v>
      </c>
    </row>
    <row r="506" spans="2:5" x14ac:dyDescent="0.4">
      <c r="B506" s="35">
        <v>20</v>
      </c>
      <c r="C506" s="36">
        <v>42248</v>
      </c>
      <c r="D506" s="37" t="s">
        <v>2</v>
      </c>
      <c r="E506" s="38">
        <v>25963.842372037499</v>
      </c>
    </row>
    <row r="507" spans="2:5" x14ac:dyDescent="0.4">
      <c r="B507" s="35">
        <v>20</v>
      </c>
      <c r="C507" s="36">
        <v>42339</v>
      </c>
      <c r="D507" s="37" t="s">
        <v>2</v>
      </c>
      <c r="E507" s="38">
        <v>38526.991475787501</v>
      </c>
    </row>
    <row r="508" spans="2:5" x14ac:dyDescent="0.4">
      <c r="B508" s="35">
        <v>20</v>
      </c>
      <c r="C508" s="36">
        <v>42430</v>
      </c>
      <c r="D508" s="37" t="s">
        <v>2</v>
      </c>
      <c r="E508" s="38">
        <v>38108.219677500005</v>
      </c>
    </row>
    <row r="509" spans="2:5" x14ac:dyDescent="0.4">
      <c r="B509" s="35">
        <v>20</v>
      </c>
      <c r="C509" s="36">
        <v>42522</v>
      </c>
      <c r="D509" s="37" t="s">
        <v>2</v>
      </c>
      <c r="E509" s="38">
        <v>38108.219625000005</v>
      </c>
    </row>
    <row r="510" spans="2:5" x14ac:dyDescent="0.4">
      <c r="B510" s="35">
        <v>20</v>
      </c>
      <c r="C510" s="36">
        <v>42614</v>
      </c>
      <c r="D510" s="37" t="s">
        <v>2</v>
      </c>
      <c r="E510" s="38">
        <v>38178.206465000003</v>
      </c>
    </row>
    <row r="511" spans="2:5" x14ac:dyDescent="0.4">
      <c r="B511" s="35">
        <v>20</v>
      </c>
      <c r="C511" s="36">
        <v>42705</v>
      </c>
      <c r="D511" s="37" t="s">
        <v>2</v>
      </c>
      <c r="E511" s="38">
        <v>38632.545262500003</v>
      </c>
    </row>
    <row r="512" spans="2:5" x14ac:dyDescent="0.4">
      <c r="B512" s="35">
        <v>20</v>
      </c>
      <c r="C512" s="36">
        <v>42795</v>
      </c>
      <c r="D512" s="37" t="s">
        <v>2</v>
      </c>
      <c r="E512" s="38">
        <v>37792.708747500001</v>
      </c>
    </row>
    <row r="513" spans="2:5" x14ac:dyDescent="0.4">
      <c r="B513" s="35">
        <v>20</v>
      </c>
      <c r="C513" s="36">
        <v>42887</v>
      </c>
      <c r="D513" s="37" t="s">
        <v>2</v>
      </c>
      <c r="E513" s="38">
        <v>38212.625955000003</v>
      </c>
    </row>
    <row r="514" spans="2:5" x14ac:dyDescent="0.4">
      <c r="B514" s="35">
        <v>20</v>
      </c>
      <c r="C514" s="36">
        <v>42979</v>
      </c>
      <c r="D514" s="37" t="s">
        <v>2</v>
      </c>
      <c r="E514" s="38">
        <v>41655.961334749998</v>
      </c>
    </row>
    <row r="515" spans="2:5" x14ac:dyDescent="0.4">
      <c r="B515" s="35">
        <v>20</v>
      </c>
      <c r="C515" s="36">
        <v>42522</v>
      </c>
      <c r="D515" s="37" t="s">
        <v>15</v>
      </c>
      <c r="E515" s="38">
        <v>735</v>
      </c>
    </row>
    <row r="516" spans="2:5" x14ac:dyDescent="0.4">
      <c r="B516" s="35">
        <v>20</v>
      </c>
      <c r="C516" s="36">
        <v>42795</v>
      </c>
      <c r="D516" s="37" t="s">
        <v>15</v>
      </c>
      <c r="E516" s="38">
        <v>735</v>
      </c>
    </row>
    <row r="517" spans="2:5" x14ac:dyDescent="0.4">
      <c r="B517" s="35">
        <v>20</v>
      </c>
      <c r="C517" s="36">
        <v>42887</v>
      </c>
      <c r="D517" s="37" t="s">
        <v>15</v>
      </c>
      <c r="E517" s="38">
        <v>735</v>
      </c>
    </row>
    <row r="518" spans="2:5" x14ac:dyDescent="0.4">
      <c r="B518" s="35">
        <v>20</v>
      </c>
      <c r="C518" s="36">
        <v>42979</v>
      </c>
      <c r="D518" s="37" t="s">
        <v>15</v>
      </c>
      <c r="E518" s="38">
        <v>735</v>
      </c>
    </row>
    <row r="519" spans="2:5" x14ac:dyDescent="0.4">
      <c r="B519" s="35">
        <v>21</v>
      </c>
      <c r="C519" s="36">
        <v>41883</v>
      </c>
      <c r="D519" s="37" t="s">
        <v>2</v>
      </c>
      <c r="E519" s="38">
        <v>5309.2286301369841</v>
      </c>
    </row>
    <row r="520" spans="2:5" x14ac:dyDescent="0.4">
      <c r="B520" s="35">
        <v>21</v>
      </c>
      <c r="C520" s="36">
        <v>41974</v>
      </c>
      <c r="D520" s="37" t="s">
        <v>2</v>
      </c>
      <c r="E520" s="38">
        <v>5309.2286301369877</v>
      </c>
    </row>
    <row r="521" spans="2:5" x14ac:dyDescent="0.4">
      <c r="B521" s="35">
        <v>21</v>
      </c>
      <c r="C521" s="36">
        <v>42064</v>
      </c>
      <c r="D521" s="37" t="s">
        <v>2</v>
      </c>
      <c r="E521" s="38">
        <v>5240.3694863013707</v>
      </c>
    </row>
    <row r="522" spans="2:5" x14ac:dyDescent="0.4">
      <c r="B522" s="35">
        <v>21</v>
      </c>
      <c r="C522" s="36">
        <v>42156</v>
      </c>
      <c r="D522" s="37" t="s">
        <v>2</v>
      </c>
      <c r="E522" s="38">
        <v>5230.3808219178072</v>
      </c>
    </row>
    <row r="523" spans="2:5" x14ac:dyDescent="0.4">
      <c r="B523" s="35">
        <v>21</v>
      </c>
      <c r="C523" s="36">
        <v>42248</v>
      </c>
      <c r="D523" s="37" t="s">
        <v>2</v>
      </c>
      <c r="E523" s="38">
        <v>5287.8573249914998</v>
      </c>
    </row>
    <row r="524" spans="2:5" x14ac:dyDescent="0.4">
      <c r="B524" s="35">
        <v>21</v>
      </c>
      <c r="C524" s="36">
        <v>42339</v>
      </c>
      <c r="D524" s="37" t="s">
        <v>2</v>
      </c>
      <c r="E524" s="38">
        <v>5287.8573249914998</v>
      </c>
    </row>
    <row r="525" spans="2:5" x14ac:dyDescent="0.4">
      <c r="B525" s="35">
        <v>21</v>
      </c>
      <c r="C525" s="36">
        <v>42430</v>
      </c>
      <c r="D525" s="37" t="s">
        <v>2</v>
      </c>
      <c r="E525" s="38">
        <v>5784.4279009999991</v>
      </c>
    </row>
    <row r="526" spans="2:5" x14ac:dyDescent="0.4">
      <c r="B526" s="35">
        <v>21</v>
      </c>
      <c r="C526" s="36">
        <v>42522</v>
      </c>
      <c r="D526" s="37" t="s">
        <v>2</v>
      </c>
      <c r="E526" s="38">
        <v>6259.3258174999983</v>
      </c>
    </row>
    <row r="527" spans="2:5" x14ac:dyDescent="0.4">
      <c r="B527" s="35">
        <v>21</v>
      </c>
      <c r="C527" s="36">
        <v>42614</v>
      </c>
      <c r="D527" s="37" t="s">
        <v>2</v>
      </c>
      <c r="E527" s="38">
        <v>6328.1094257499972</v>
      </c>
    </row>
    <row r="528" spans="2:5" x14ac:dyDescent="0.4">
      <c r="B528" s="35">
        <v>21</v>
      </c>
      <c r="C528" s="36">
        <v>42705</v>
      </c>
      <c r="D528" s="37" t="s">
        <v>2</v>
      </c>
      <c r="E528" s="38">
        <v>6328.1094257499972</v>
      </c>
    </row>
    <row r="529" spans="2:5" x14ac:dyDescent="0.4">
      <c r="B529" s="35">
        <v>21</v>
      </c>
      <c r="C529" s="36">
        <v>42795</v>
      </c>
      <c r="D529" s="37" t="s">
        <v>2</v>
      </c>
      <c r="E529" s="38">
        <v>5534.0165422499995</v>
      </c>
    </row>
    <row r="530" spans="2:5" x14ac:dyDescent="0.4">
      <c r="B530" s="35">
        <v>21</v>
      </c>
      <c r="C530" s="36">
        <v>42887</v>
      </c>
      <c r="D530" s="37" t="s">
        <v>2</v>
      </c>
      <c r="E530" s="38">
        <v>5121.3579550000004</v>
      </c>
    </row>
    <row r="531" spans="2:5" x14ac:dyDescent="0.4">
      <c r="B531" s="35">
        <v>21</v>
      </c>
      <c r="C531" s="36">
        <v>42979</v>
      </c>
      <c r="D531" s="37" t="s">
        <v>2</v>
      </c>
      <c r="E531" s="38">
        <v>5177.6367124999997</v>
      </c>
    </row>
    <row r="532" spans="2:5" x14ac:dyDescent="0.4">
      <c r="B532" s="35">
        <v>21</v>
      </c>
      <c r="C532" s="36">
        <v>41883</v>
      </c>
      <c r="D532" s="37" t="s">
        <v>15</v>
      </c>
      <c r="E532" s="38">
        <v>36128.75</v>
      </c>
    </row>
    <row r="533" spans="2:5" x14ac:dyDescent="0.4">
      <c r="B533" s="35">
        <v>21</v>
      </c>
      <c r="C533" s="36">
        <v>41974</v>
      </c>
      <c r="D533" s="37" t="s">
        <v>15</v>
      </c>
      <c r="E533" s="38">
        <v>42341.25</v>
      </c>
    </row>
    <row r="534" spans="2:5" x14ac:dyDescent="0.4">
      <c r="B534" s="35">
        <v>21</v>
      </c>
      <c r="C534" s="36">
        <v>42064</v>
      </c>
      <c r="D534" s="37" t="s">
        <v>15</v>
      </c>
      <c r="E534" s="38">
        <v>26600</v>
      </c>
    </row>
    <row r="535" spans="2:5" x14ac:dyDescent="0.4">
      <c r="B535" s="35">
        <v>21</v>
      </c>
      <c r="C535" s="36">
        <v>42156</v>
      </c>
      <c r="D535" s="37" t="s">
        <v>15</v>
      </c>
      <c r="E535" s="38">
        <v>39900</v>
      </c>
    </row>
    <row r="536" spans="2:5" x14ac:dyDescent="0.4">
      <c r="B536" s="35">
        <v>21</v>
      </c>
      <c r="C536" s="36">
        <v>42248</v>
      </c>
      <c r="D536" s="37" t="s">
        <v>15</v>
      </c>
      <c r="E536" s="38">
        <v>53200</v>
      </c>
    </row>
    <row r="537" spans="2:5" x14ac:dyDescent="0.4">
      <c r="B537" s="35">
        <v>21</v>
      </c>
      <c r="C537" s="36">
        <v>42339</v>
      </c>
      <c r="D537" s="37" t="s">
        <v>15</v>
      </c>
      <c r="E537" s="38">
        <v>39900</v>
      </c>
    </row>
    <row r="538" spans="2:5" x14ac:dyDescent="0.4">
      <c r="B538" s="35">
        <v>21</v>
      </c>
      <c r="C538" s="36">
        <v>42430</v>
      </c>
      <c r="D538" s="37" t="s">
        <v>15</v>
      </c>
      <c r="E538" s="38">
        <v>53200</v>
      </c>
    </row>
    <row r="539" spans="2:5" x14ac:dyDescent="0.4">
      <c r="B539" s="35">
        <v>21</v>
      </c>
      <c r="C539" s="36">
        <v>42522</v>
      </c>
      <c r="D539" s="37" t="s">
        <v>15</v>
      </c>
      <c r="E539" s="38">
        <v>39900</v>
      </c>
    </row>
    <row r="540" spans="2:5" x14ac:dyDescent="0.4">
      <c r="B540" s="35">
        <v>21</v>
      </c>
      <c r="C540" s="36">
        <v>42614</v>
      </c>
      <c r="D540" s="37" t="s">
        <v>15</v>
      </c>
      <c r="E540" s="38">
        <v>53200</v>
      </c>
    </row>
    <row r="541" spans="2:5" x14ac:dyDescent="0.4">
      <c r="B541" s="35">
        <v>21</v>
      </c>
      <c r="C541" s="36">
        <v>42705</v>
      </c>
      <c r="D541" s="37" t="s">
        <v>15</v>
      </c>
      <c r="E541" s="38">
        <v>66500</v>
      </c>
    </row>
    <row r="542" spans="2:5" x14ac:dyDescent="0.4">
      <c r="B542" s="35">
        <v>21</v>
      </c>
      <c r="C542" s="36">
        <v>42795</v>
      </c>
      <c r="D542" s="37" t="s">
        <v>15</v>
      </c>
      <c r="E542" s="38">
        <v>63350</v>
      </c>
    </row>
    <row r="543" spans="2:5" x14ac:dyDescent="0.4">
      <c r="B543" s="35">
        <v>21</v>
      </c>
      <c r="C543" s="36">
        <v>42887</v>
      </c>
      <c r="D543" s="37" t="s">
        <v>15</v>
      </c>
      <c r="E543" s="38">
        <v>70350</v>
      </c>
    </row>
    <row r="544" spans="2:5" x14ac:dyDescent="0.4">
      <c r="B544" s="35">
        <v>21</v>
      </c>
      <c r="C544" s="36">
        <v>42979</v>
      </c>
      <c r="D544" s="37" t="s">
        <v>15</v>
      </c>
      <c r="E544" s="38">
        <v>36750</v>
      </c>
    </row>
    <row r="545" spans="2:5" x14ac:dyDescent="0.4">
      <c r="B545" s="35">
        <v>22</v>
      </c>
      <c r="C545" s="36">
        <v>41883</v>
      </c>
      <c r="D545" s="37" t="s">
        <v>2</v>
      </c>
      <c r="E545" s="38">
        <v>44812.695890410956</v>
      </c>
    </row>
    <row r="546" spans="2:5" x14ac:dyDescent="0.4">
      <c r="B546" s="35">
        <v>22</v>
      </c>
      <c r="C546" s="36">
        <v>41974</v>
      </c>
      <c r="D546" s="37" t="s">
        <v>2</v>
      </c>
      <c r="E546" s="38">
        <v>42671.554109589037</v>
      </c>
    </row>
    <row r="547" spans="2:5" x14ac:dyDescent="0.4">
      <c r="B547" s="35">
        <v>22</v>
      </c>
      <c r="C547" s="36">
        <v>42064</v>
      </c>
      <c r="D547" s="37" t="s">
        <v>2</v>
      </c>
      <c r="E547" s="38">
        <v>40679.445205479446</v>
      </c>
    </row>
    <row r="548" spans="2:5" x14ac:dyDescent="0.4">
      <c r="B548" s="35">
        <v>22</v>
      </c>
      <c r="C548" s="36">
        <v>42156</v>
      </c>
      <c r="D548" s="37" t="s">
        <v>2</v>
      </c>
      <c r="E548" s="38">
        <v>41131.439041095895</v>
      </c>
    </row>
    <row r="549" spans="2:5" x14ac:dyDescent="0.4">
      <c r="B549" s="35">
        <v>22</v>
      </c>
      <c r="C549" s="36">
        <v>42248</v>
      </c>
      <c r="D549" s="37" t="s">
        <v>2</v>
      </c>
      <c r="E549" s="38">
        <v>41583.434278925015</v>
      </c>
    </row>
    <row r="550" spans="2:5" x14ac:dyDescent="0.4">
      <c r="B550" s="35">
        <v>22</v>
      </c>
      <c r="C550" s="36">
        <v>42339</v>
      </c>
      <c r="D550" s="37" t="s">
        <v>2</v>
      </c>
      <c r="E550" s="38">
        <v>41057.341018925006</v>
      </c>
    </row>
    <row r="551" spans="2:5" x14ac:dyDescent="0.4">
      <c r="B551" s="35">
        <v>22</v>
      </c>
      <c r="C551" s="36">
        <v>42430</v>
      </c>
      <c r="D551" s="37" t="s">
        <v>2</v>
      </c>
      <c r="E551" s="38">
        <v>41019.05773</v>
      </c>
    </row>
    <row r="552" spans="2:5" x14ac:dyDescent="0.4">
      <c r="B552" s="35">
        <v>22</v>
      </c>
      <c r="C552" s="36">
        <v>42522</v>
      </c>
      <c r="D552" s="37" t="s">
        <v>2</v>
      </c>
      <c r="E552" s="38">
        <v>41019.057344999994</v>
      </c>
    </row>
    <row r="553" spans="2:5" x14ac:dyDescent="0.4">
      <c r="B553" s="35">
        <v>22</v>
      </c>
      <c r="C553" s="36">
        <v>42614</v>
      </c>
      <c r="D553" s="37" t="s">
        <v>2</v>
      </c>
      <c r="E553" s="38">
        <v>41469.817095000006</v>
      </c>
    </row>
    <row r="554" spans="2:5" x14ac:dyDescent="0.4">
      <c r="B554" s="35">
        <v>22</v>
      </c>
      <c r="C554" s="36">
        <v>42705</v>
      </c>
      <c r="D554" s="37" t="s">
        <v>2</v>
      </c>
      <c r="E554" s="38">
        <v>41543.914139000008</v>
      </c>
    </row>
    <row r="555" spans="2:5" x14ac:dyDescent="0.4">
      <c r="B555" s="35">
        <v>22</v>
      </c>
      <c r="C555" s="36">
        <v>42795</v>
      </c>
      <c r="D555" s="37" t="s">
        <v>2</v>
      </c>
      <c r="E555" s="38">
        <v>40679.446307500002</v>
      </c>
    </row>
    <row r="556" spans="2:5" x14ac:dyDescent="0.4">
      <c r="B556" s="35">
        <v>22</v>
      </c>
      <c r="C556" s="36">
        <v>42887</v>
      </c>
      <c r="D556" s="37" t="s">
        <v>2</v>
      </c>
      <c r="E556" s="38">
        <v>41131.442940000015</v>
      </c>
    </row>
    <row r="557" spans="2:5" x14ac:dyDescent="0.4">
      <c r="B557" s="35">
        <v>22</v>
      </c>
      <c r="C557" s="36">
        <v>42979</v>
      </c>
      <c r="D557" s="37" t="s">
        <v>2</v>
      </c>
      <c r="E557" s="38">
        <v>41583.436072500001</v>
      </c>
    </row>
    <row r="558" spans="2:5" x14ac:dyDescent="0.4">
      <c r="B558" s="35">
        <v>22</v>
      </c>
      <c r="C558" s="36">
        <v>41974</v>
      </c>
      <c r="D558" s="37" t="s">
        <v>15</v>
      </c>
      <c r="E558" s="38">
        <v>23450</v>
      </c>
    </row>
    <row r="559" spans="2:5" x14ac:dyDescent="0.4">
      <c r="B559" s="35">
        <v>22</v>
      </c>
      <c r="C559" s="36">
        <v>42156</v>
      </c>
      <c r="D559" s="37" t="s">
        <v>15</v>
      </c>
      <c r="E559" s="38">
        <v>23450</v>
      </c>
    </row>
    <row r="560" spans="2:5" x14ac:dyDescent="0.4">
      <c r="B560" s="35">
        <v>23</v>
      </c>
      <c r="C560" s="36">
        <v>42795</v>
      </c>
      <c r="D560" s="37" t="s">
        <v>1</v>
      </c>
      <c r="E560" s="38">
        <v>25279.281767955803</v>
      </c>
    </row>
    <row r="561" spans="2:5" x14ac:dyDescent="0.4">
      <c r="B561" s="35">
        <v>23</v>
      </c>
      <c r="C561" s="36">
        <v>42887</v>
      </c>
      <c r="D561" s="37" t="s">
        <v>1</v>
      </c>
      <c r="E561" s="38">
        <v>33899.627071823204</v>
      </c>
    </row>
    <row r="562" spans="2:5" x14ac:dyDescent="0.4">
      <c r="B562" s="35">
        <v>23</v>
      </c>
      <c r="C562" s="36">
        <v>42979</v>
      </c>
      <c r="D562" s="37" t="s">
        <v>1</v>
      </c>
      <c r="E562" s="38">
        <v>34822.726275933579</v>
      </c>
    </row>
    <row r="563" spans="2:5" x14ac:dyDescent="0.4">
      <c r="B563" s="35">
        <v>23</v>
      </c>
      <c r="C563" s="36">
        <v>41883</v>
      </c>
      <c r="D563" s="37" t="s">
        <v>2</v>
      </c>
      <c r="E563" s="38">
        <v>1211.6904109589043</v>
      </c>
    </row>
    <row r="564" spans="2:5" x14ac:dyDescent="0.4">
      <c r="B564" s="35">
        <v>23</v>
      </c>
      <c r="C564" s="36">
        <v>41974</v>
      </c>
      <c r="D564" s="37" t="s">
        <v>2</v>
      </c>
      <c r="E564" s="38">
        <v>1211.6904109589043</v>
      </c>
    </row>
    <row r="565" spans="2:5" x14ac:dyDescent="0.4">
      <c r="B565" s="35">
        <v>23</v>
      </c>
      <c r="C565" s="36">
        <v>42064</v>
      </c>
      <c r="D565" s="37" t="s">
        <v>2</v>
      </c>
      <c r="E565" s="38">
        <v>1185.3493150684931</v>
      </c>
    </row>
    <row r="566" spans="2:5" x14ac:dyDescent="0.4">
      <c r="B566" s="35">
        <v>23</v>
      </c>
      <c r="C566" s="36">
        <v>42156</v>
      </c>
      <c r="D566" s="37" t="s">
        <v>2</v>
      </c>
      <c r="E566" s="38">
        <v>1182.9742982259149</v>
      </c>
    </row>
    <row r="567" spans="2:5" x14ac:dyDescent="0.4">
      <c r="B567" s="35">
        <v>23</v>
      </c>
      <c r="C567" s="36">
        <v>42248</v>
      </c>
      <c r="D567" s="37" t="s">
        <v>2</v>
      </c>
      <c r="E567" s="38">
        <v>1208.3797231100002</v>
      </c>
    </row>
    <row r="568" spans="2:5" x14ac:dyDescent="0.4">
      <c r="B568" s="35">
        <v>23</v>
      </c>
      <c r="C568" s="36">
        <v>42339</v>
      </c>
      <c r="D568" s="37" t="s">
        <v>2</v>
      </c>
      <c r="E568" s="38">
        <v>1208.3797231100002</v>
      </c>
    </row>
    <row r="569" spans="2:5" x14ac:dyDescent="0.4">
      <c r="B569" s="35">
        <v>23</v>
      </c>
      <c r="C569" s="36">
        <v>42430</v>
      </c>
      <c r="D569" s="37" t="s">
        <v>2</v>
      </c>
      <c r="E569" s="38">
        <v>1195.2451175000001</v>
      </c>
    </row>
    <row r="570" spans="2:5" x14ac:dyDescent="0.4">
      <c r="B570" s="35">
        <v>23</v>
      </c>
      <c r="C570" s="36">
        <v>42522</v>
      </c>
      <c r="D570" s="37" t="s">
        <v>2</v>
      </c>
      <c r="E570" s="38">
        <v>1387.2761349999998</v>
      </c>
    </row>
    <row r="571" spans="2:5" x14ac:dyDescent="0.4">
      <c r="B571" s="35">
        <v>23</v>
      </c>
      <c r="C571" s="36">
        <v>42614</v>
      </c>
      <c r="D571" s="37" t="s">
        <v>2</v>
      </c>
      <c r="E571" s="38">
        <v>1454.0284499999998</v>
      </c>
    </row>
    <row r="572" spans="2:5" x14ac:dyDescent="0.4">
      <c r="B572" s="35">
        <v>23</v>
      </c>
      <c r="C572" s="36">
        <v>42705</v>
      </c>
      <c r="D572" s="37" t="s">
        <v>2</v>
      </c>
      <c r="E572" s="38">
        <v>1454.02845</v>
      </c>
    </row>
    <row r="573" spans="2:5" x14ac:dyDescent="0.4">
      <c r="B573" s="35">
        <v>23</v>
      </c>
      <c r="C573" s="36">
        <v>42795</v>
      </c>
      <c r="D573" s="37" t="s">
        <v>2</v>
      </c>
      <c r="E573" s="38">
        <v>1422.419075</v>
      </c>
    </row>
    <row r="574" spans="2:5" x14ac:dyDescent="0.4">
      <c r="B574" s="35">
        <v>23</v>
      </c>
      <c r="C574" s="36">
        <v>42887</v>
      </c>
      <c r="D574" s="37" t="s">
        <v>2</v>
      </c>
      <c r="E574" s="38">
        <v>379.31180000000001</v>
      </c>
    </row>
    <row r="575" spans="2:5" x14ac:dyDescent="0.4">
      <c r="B575" s="35">
        <v>23</v>
      </c>
      <c r="C575" s="36">
        <v>42705</v>
      </c>
      <c r="D575" s="37" t="s">
        <v>16</v>
      </c>
      <c r="E575" s="38">
        <v>976.5</v>
      </c>
    </row>
    <row r="576" spans="2:5" x14ac:dyDescent="0.4">
      <c r="B576" s="35">
        <v>23</v>
      </c>
      <c r="C576" s="36">
        <v>42795</v>
      </c>
      <c r="D576" s="37" t="s">
        <v>16</v>
      </c>
      <c r="E576" s="38">
        <v>1165.5</v>
      </c>
    </row>
    <row r="577" spans="2:5" x14ac:dyDescent="0.4">
      <c r="B577" s="35">
        <v>23</v>
      </c>
      <c r="C577" s="36">
        <v>42887</v>
      </c>
      <c r="D577" s="37" t="s">
        <v>16</v>
      </c>
      <c r="E577" s="38">
        <v>2866.4999999999991</v>
      </c>
    </row>
    <row r="578" spans="2:5" x14ac:dyDescent="0.4">
      <c r="B578" s="35">
        <v>23</v>
      </c>
      <c r="C578" s="36">
        <v>42979</v>
      </c>
      <c r="D578" s="37" t="s">
        <v>16</v>
      </c>
      <c r="E578" s="38">
        <v>2898.0000000000009</v>
      </c>
    </row>
    <row r="579" spans="2:5" x14ac:dyDescent="0.4">
      <c r="B579" s="35">
        <v>24</v>
      </c>
      <c r="C579" s="36">
        <v>42522</v>
      </c>
      <c r="D579" s="37" t="s">
        <v>1</v>
      </c>
      <c r="E579" s="38">
        <v>10278.130024509805</v>
      </c>
    </row>
    <row r="580" spans="2:5" x14ac:dyDescent="0.4">
      <c r="B580" s="35">
        <v>24</v>
      </c>
      <c r="C580" s="36">
        <v>42614</v>
      </c>
      <c r="D580" s="37" t="s">
        <v>1</v>
      </c>
      <c r="E580" s="38">
        <v>19450.634866794546</v>
      </c>
    </row>
    <row r="581" spans="2:5" x14ac:dyDescent="0.4">
      <c r="B581" s="35">
        <v>24</v>
      </c>
      <c r="C581" s="36">
        <v>42705</v>
      </c>
      <c r="D581" s="37" t="s">
        <v>1</v>
      </c>
      <c r="E581" s="38">
        <v>16545.026829939463</v>
      </c>
    </row>
    <row r="582" spans="2:5" x14ac:dyDescent="0.4">
      <c r="B582" s="35">
        <v>24</v>
      </c>
      <c r="C582" s="36">
        <v>42795</v>
      </c>
      <c r="D582" s="37" t="s">
        <v>1</v>
      </c>
      <c r="E582" s="38">
        <v>14754.481902351696</v>
      </c>
    </row>
    <row r="583" spans="2:5" x14ac:dyDescent="0.4">
      <c r="B583" s="35">
        <v>24</v>
      </c>
      <c r="C583" s="36">
        <v>42887</v>
      </c>
      <c r="D583" s="37" t="s">
        <v>1</v>
      </c>
      <c r="E583" s="38">
        <v>18993.826085955454</v>
      </c>
    </row>
    <row r="584" spans="2:5" x14ac:dyDescent="0.4">
      <c r="B584" s="35">
        <v>24</v>
      </c>
      <c r="C584" s="36">
        <v>42979</v>
      </c>
      <c r="D584" s="37" t="s">
        <v>1</v>
      </c>
      <c r="E584" s="38">
        <v>23917.348538845334</v>
      </c>
    </row>
    <row r="585" spans="2:5" x14ac:dyDescent="0.4">
      <c r="B585" s="35">
        <v>24</v>
      </c>
      <c r="C585" s="36">
        <v>42614</v>
      </c>
      <c r="D585" s="37" t="s">
        <v>16</v>
      </c>
      <c r="E585" s="38">
        <v>434.95890410958901</v>
      </c>
    </row>
    <row r="586" spans="2:5" x14ac:dyDescent="0.4">
      <c r="B586" s="35">
        <v>24</v>
      </c>
      <c r="C586" s="36">
        <v>42705</v>
      </c>
      <c r="D586" s="37" t="s">
        <v>16</v>
      </c>
      <c r="E586" s="38">
        <v>741.04109589041104</v>
      </c>
    </row>
    <row r="587" spans="2:5" x14ac:dyDescent="0.4">
      <c r="B587" s="35">
        <v>24</v>
      </c>
      <c r="C587" s="36">
        <v>42795</v>
      </c>
      <c r="D587" s="37" t="s">
        <v>16</v>
      </c>
      <c r="E587" s="38">
        <v>724.93150684931516</v>
      </c>
    </row>
    <row r="588" spans="2:5" x14ac:dyDescent="0.4">
      <c r="B588" s="35">
        <v>24</v>
      </c>
      <c r="C588" s="36">
        <v>42887</v>
      </c>
      <c r="D588" s="37" t="s">
        <v>16</v>
      </c>
      <c r="E588" s="38">
        <v>1167.9488013698626</v>
      </c>
    </row>
    <row r="589" spans="2:5" x14ac:dyDescent="0.4">
      <c r="B589" s="35">
        <v>24</v>
      </c>
      <c r="C589" s="36">
        <v>42979</v>
      </c>
      <c r="D589" s="37" t="s">
        <v>16</v>
      </c>
      <c r="E589" s="38">
        <v>1047.1160958904097</v>
      </c>
    </row>
    <row r="590" spans="2:5" x14ac:dyDescent="0.4">
      <c r="B590" s="35">
        <v>24</v>
      </c>
      <c r="C590" s="36">
        <v>42614</v>
      </c>
      <c r="D590" s="37" t="s">
        <v>15</v>
      </c>
      <c r="E590" s="38">
        <v>13300</v>
      </c>
    </row>
    <row r="591" spans="2:5" x14ac:dyDescent="0.4">
      <c r="B591" s="35">
        <v>24</v>
      </c>
      <c r="C591" s="36">
        <v>42979</v>
      </c>
      <c r="D591" s="37" t="s">
        <v>15</v>
      </c>
      <c r="E591" s="38">
        <v>12250</v>
      </c>
    </row>
    <row r="592" spans="2:5" x14ac:dyDescent="0.4">
      <c r="B592" s="35">
        <v>25</v>
      </c>
      <c r="C592" s="36">
        <v>42430</v>
      </c>
      <c r="D592" s="37" t="s">
        <v>1</v>
      </c>
      <c r="E592" s="38">
        <v>3715.7534246575524</v>
      </c>
    </row>
    <row r="593" spans="2:5" x14ac:dyDescent="0.4">
      <c r="B593" s="35">
        <v>25</v>
      </c>
      <c r="C593" s="36">
        <v>42522</v>
      </c>
      <c r="D593" s="37" t="s">
        <v>1</v>
      </c>
      <c r="E593" s="38">
        <v>33813.356164383549</v>
      </c>
    </row>
    <row r="594" spans="2:5" x14ac:dyDescent="0.4">
      <c r="B594" s="35">
        <v>25</v>
      </c>
      <c r="C594" s="36">
        <v>42614</v>
      </c>
      <c r="D594" s="37" t="s">
        <v>1</v>
      </c>
      <c r="E594" s="38">
        <v>34184.931506849309</v>
      </c>
    </row>
    <row r="595" spans="2:5" x14ac:dyDescent="0.4">
      <c r="B595" s="35">
        <v>25</v>
      </c>
      <c r="C595" s="36">
        <v>42705</v>
      </c>
      <c r="D595" s="37" t="s">
        <v>1</v>
      </c>
      <c r="E595" s="38">
        <v>34184.931506849316</v>
      </c>
    </row>
    <row r="596" spans="2:5" x14ac:dyDescent="0.4">
      <c r="B596" s="35">
        <v>25</v>
      </c>
      <c r="C596" s="36">
        <v>42795</v>
      </c>
      <c r="D596" s="37" t="s">
        <v>1</v>
      </c>
      <c r="E596" s="38">
        <v>32985.582191780835</v>
      </c>
    </row>
    <row r="597" spans="2:5" x14ac:dyDescent="0.4">
      <c r="B597" s="35">
        <v>25</v>
      </c>
      <c r="C597" s="36">
        <v>42887</v>
      </c>
      <c r="D597" s="37" t="s">
        <v>1</v>
      </c>
      <c r="E597" s="38">
        <v>29661.948630136969</v>
      </c>
    </row>
    <row r="598" spans="2:5" x14ac:dyDescent="0.4">
      <c r="B598" s="35">
        <v>25</v>
      </c>
      <c r="C598" s="36">
        <v>42979</v>
      </c>
      <c r="D598" s="37" t="s">
        <v>1</v>
      </c>
      <c r="E598" s="38">
        <v>29987.904109589042</v>
      </c>
    </row>
    <row r="599" spans="2:5" x14ac:dyDescent="0.4">
      <c r="B599" s="35">
        <v>25</v>
      </c>
      <c r="C599" s="36">
        <v>42430</v>
      </c>
      <c r="D599" s="37" t="s">
        <v>16</v>
      </c>
      <c r="E599" s="38">
        <v>613.31506849315156</v>
      </c>
    </row>
    <row r="600" spans="2:5" x14ac:dyDescent="0.4">
      <c r="B600" s="35">
        <v>25</v>
      </c>
      <c r="C600" s="36">
        <v>42522</v>
      </c>
      <c r="D600" s="37" t="s">
        <v>16</v>
      </c>
      <c r="E600" s="38">
        <v>5581.1671232876715</v>
      </c>
    </row>
    <row r="601" spans="2:5" x14ac:dyDescent="0.4">
      <c r="B601" s="35">
        <v>25</v>
      </c>
      <c r="C601" s="36">
        <v>42614</v>
      </c>
      <c r="D601" s="37" t="s">
        <v>16</v>
      </c>
      <c r="E601" s="38">
        <v>5642.4986301369854</v>
      </c>
    </row>
    <row r="602" spans="2:5" x14ac:dyDescent="0.4">
      <c r="B602" s="35">
        <v>25</v>
      </c>
      <c r="C602" s="36">
        <v>42705</v>
      </c>
      <c r="D602" s="37" t="s">
        <v>16</v>
      </c>
      <c r="E602" s="38">
        <v>5642.4986301369863</v>
      </c>
    </row>
    <row r="603" spans="2:5" x14ac:dyDescent="0.4">
      <c r="B603" s="35">
        <v>25</v>
      </c>
      <c r="C603" s="36">
        <v>42795</v>
      </c>
      <c r="D603" s="37" t="s">
        <v>16</v>
      </c>
      <c r="E603" s="38">
        <v>5370.2465753424667</v>
      </c>
    </row>
    <row r="604" spans="2:5" x14ac:dyDescent="0.4">
      <c r="B604" s="35">
        <v>25</v>
      </c>
      <c r="C604" s="36">
        <v>42887</v>
      </c>
      <c r="D604" s="37" t="s">
        <v>16</v>
      </c>
      <c r="E604" s="38">
        <v>4219.906849315068</v>
      </c>
    </row>
    <row r="605" spans="2:5" x14ac:dyDescent="0.4">
      <c r="B605" s="35">
        <v>25</v>
      </c>
      <c r="C605" s="36">
        <v>42979</v>
      </c>
      <c r="D605" s="37" t="s">
        <v>16</v>
      </c>
      <c r="E605" s="38">
        <v>4266.2794520547941</v>
      </c>
    </row>
    <row r="606" spans="2:5" x14ac:dyDescent="0.4">
      <c r="B606" s="35">
        <v>25</v>
      </c>
      <c r="C606" s="36">
        <v>42339</v>
      </c>
      <c r="D606" s="37" t="s">
        <v>15</v>
      </c>
      <c r="E606" s="38">
        <v>7087.5</v>
      </c>
    </row>
    <row r="607" spans="2:5" x14ac:dyDescent="0.4">
      <c r="B607" s="35">
        <v>26</v>
      </c>
      <c r="C607" s="36">
        <v>41883</v>
      </c>
      <c r="D607" s="37" t="s">
        <v>2</v>
      </c>
      <c r="E607" s="38">
        <v>12898.47309589042</v>
      </c>
    </row>
    <row r="608" spans="2:5" x14ac:dyDescent="0.4">
      <c r="B608" s="35">
        <v>26</v>
      </c>
      <c r="C608" s="36">
        <v>41974</v>
      </c>
      <c r="D608" s="37" t="s">
        <v>2</v>
      </c>
      <c r="E608" s="38">
        <v>12898.473095890424</v>
      </c>
    </row>
    <row r="609" spans="2:5" x14ac:dyDescent="0.4">
      <c r="B609" s="35">
        <v>26</v>
      </c>
      <c r="C609" s="36">
        <v>42064</v>
      </c>
      <c r="D609" s="37" t="s">
        <v>2</v>
      </c>
      <c r="E609" s="38">
        <v>12011.914071187955</v>
      </c>
    </row>
    <row r="610" spans="2:5" x14ac:dyDescent="0.4">
      <c r="B610" s="35">
        <v>26</v>
      </c>
      <c r="C610" s="36">
        <v>42156</v>
      </c>
      <c r="D610" s="37" t="s">
        <v>2</v>
      </c>
      <c r="E610" s="38">
        <v>11127.424057377051</v>
      </c>
    </row>
    <row r="611" spans="2:5" x14ac:dyDescent="0.4">
      <c r="B611" s="35">
        <v>26</v>
      </c>
      <c r="C611" s="36">
        <v>42248</v>
      </c>
      <c r="D611" s="37" t="s">
        <v>2</v>
      </c>
      <c r="E611" s="38">
        <v>11249.70339031</v>
      </c>
    </row>
    <row r="612" spans="2:5" x14ac:dyDescent="0.4">
      <c r="B612" s="35">
        <v>26</v>
      </c>
      <c r="C612" s="36">
        <v>42339</v>
      </c>
      <c r="D612" s="37" t="s">
        <v>2</v>
      </c>
      <c r="E612" s="38">
        <v>11249.703390309998</v>
      </c>
    </row>
    <row r="613" spans="2:5" x14ac:dyDescent="0.4">
      <c r="B613" s="35">
        <v>26</v>
      </c>
      <c r="C613" s="36">
        <v>42430</v>
      </c>
      <c r="D613" s="37" t="s">
        <v>2</v>
      </c>
      <c r="E613" s="38">
        <v>11273.071328750004</v>
      </c>
    </row>
    <row r="614" spans="2:5" x14ac:dyDescent="0.4">
      <c r="B614" s="35">
        <v>26</v>
      </c>
      <c r="C614" s="36">
        <v>42522</v>
      </c>
      <c r="D614" s="37" t="s">
        <v>2</v>
      </c>
      <c r="E614" s="38">
        <v>11206.182417499998</v>
      </c>
    </row>
    <row r="615" spans="2:5" x14ac:dyDescent="0.4">
      <c r="B615" s="35">
        <v>26</v>
      </c>
      <c r="C615" s="36">
        <v>42614</v>
      </c>
      <c r="D615" s="37" t="s">
        <v>2</v>
      </c>
      <c r="E615" s="38">
        <v>11329.327292499996</v>
      </c>
    </row>
    <row r="616" spans="2:5" x14ac:dyDescent="0.4">
      <c r="B616" s="35">
        <v>26</v>
      </c>
      <c r="C616" s="36">
        <v>42705</v>
      </c>
      <c r="D616" s="37" t="s">
        <v>2</v>
      </c>
      <c r="E616" s="38">
        <v>11329.327292499995</v>
      </c>
    </row>
    <row r="617" spans="2:5" x14ac:dyDescent="0.4">
      <c r="B617" s="35">
        <v>26</v>
      </c>
      <c r="C617" s="36">
        <v>42795</v>
      </c>
      <c r="D617" s="37" t="s">
        <v>2</v>
      </c>
      <c r="E617" s="38">
        <v>11083.037542499998</v>
      </c>
    </row>
    <row r="618" spans="2:5" x14ac:dyDescent="0.4">
      <c r="B618" s="35">
        <v>26</v>
      </c>
      <c r="C618" s="36">
        <v>42887</v>
      </c>
      <c r="D618" s="37" t="s">
        <v>2</v>
      </c>
      <c r="E618" s="38">
        <v>11206.1822075</v>
      </c>
    </row>
    <row r="619" spans="2:5" x14ac:dyDescent="0.4">
      <c r="B619" s="35">
        <v>26</v>
      </c>
      <c r="C619" s="36">
        <v>42979</v>
      </c>
      <c r="D619" s="37" t="s">
        <v>2</v>
      </c>
      <c r="E619" s="38">
        <v>11329.327187499999</v>
      </c>
    </row>
    <row r="620" spans="2:5" x14ac:dyDescent="0.4">
      <c r="B620" s="35">
        <v>26</v>
      </c>
      <c r="C620" s="36">
        <v>42064</v>
      </c>
      <c r="D620" s="37" t="s">
        <v>16</v>
      </c>
      <c r="E620" s="38">
        <v>575.60136986301427</v>
      </c>
    </row>
    <row r="621" spans="2:5" x14ac:dyDescent="0.4">
      <c r="B621" s="35">
        <v>26</v>
      </c>
      <c r="C621" s="36">
        <v>42156</v>
      </c>
      <c r="D621" s="37" t="s">
        <v>16</v>
      </c>
      <c r="E621" s="38">
        <v>1540.5801369863009</v>
      </c>
    </row>
    <row r="622" spans="2:5" x14ac:dyDescent="0.4">
      <c r="B622" s="35">
        <v>26</v>
      </c>
      <c r="C622" s="36">
        <v>42248</v>
      </c>
      <c r="D622" s="37" t="s">
        <v>16</v>
      </c>
      <c r="E622" s="38">
        <v>1557.5095890410958</v>
      </c>
    </row>
    <row r="623" spans="2:5" x14ac:dyDescent="0.4">
      <c r="B623" s="35">
        <v>26</v>
      </c>
      <c r="C623" s="36">
        <v>42339</v>
      </c>
      <c r="D623" s="37" t="s">
        <v>16</v>
      </c>
      <c r="E623" s="38">
        <v>1557.509589041096</v>
      </c>
    </row>
    <row r="624" spans="2:5" x14ac:dyDescent="0.4">
      <c r="B624" s="35">
        <v>26</v>
      </c>
      <c r="C624" s="36">
        <v>42430</v>
      </c>
      <c r="D624" s="37" t="s">
        <v>16</v>
      </c>
      <c r="E624" s="38">
        <v>1538.9612003143943</v>
      </c>
    </row>
    <row r="625" spans="2:5" x14ac:dyDescent="0.4">
      <c r="B625" s="35">
        <v>26</v>
      </c>
      <c r="C625" s="36">
        <v>42522</v>
      </c>
      <c r="D625" s="37" t="s">
        <v>16</v>
      </c>
      <c r="E625" s="38">
        <v>1553.2540983606559</v>
      </c>
    </row>
    <row r="626" spans="2:5" x14ac:dyDescent="0.4">
      <c r="B626" s="35">
        <v>26</v>
      </c>
      <c r="C626" s="36">
        <v>42614</v>
      </c>
      <c r="D626" s="37" t="s">
        <v>16</v>
      </c>
      <c r="E626" s="38">
        <v>1553.2540983606559</v>
      </c>
    </row>
    <row r="627" spans="2:5" x14ac:dyDescent="0.4">
      <c r="B627" s="35">
        <v>26</v>
      </c>
      <c r="C627" s="36">
        <v>42705</v>
      </c>
      <c r="D627" s="37" t="s">
        <v>16</v>
      </c>
      <c r="E627" s="38">
        <v>1553.2540983606559</v>
      </c>
    </row>
    <row r="628" spans="2:5" x14ac:dyDescent="0.4">
      <c r="B628" s="35">
        <v>26</v>
      </c>
      <c r="C628" s="36">
        <v>42795</v>
      </c>
      <c r="D628" s="37" t="s">
        <v>16</v>
      </c>
      <c r="E628" s="38">
        <v>1521.1066415899395</v>
      </c>
    </row>
    <row r="629" spans="2:5" x14ac:dyDescent="0.4">
      <c r="B629" s="35">
        <v>26</v>
      </c>
      <c r="C629" s="36">
        <v>42887</v>
      </c>
      <c r="D629" s="37" t="s">
        <v>16</v>
      </c>
      <c r="E629" s="38">
        <v>1540.5801369863016</v>
      </c>
    </row>
    <row r="630" spans="2:5" x14ac:dyDescent="0.4">
      <c r="B630" s="35">
        <v>26</v>
      </c>
      <c r="C630" s="36">
        <v>42979</v>
      </c>
      <c r="D630" s="37" t="s">
        <v>16</v>
      </c>
      <c r="E630" s="38">
        <v>1557.5095890410953</v>
      </c>
    </row>
    <row r="631" spans="2:5" x14ac:dyDescent="0.4">
      <c r="B631" s="35">
        <v>26</v>
      </c>
      <c r="C631" s="36">
        <v>41974</v>
      </c>
      <c r="D631" s="37" t="s">
        <v>15</v>
      </c>
      <c r="E631" s="38">
        <v>7000</v>
      </c>
    </row>
    <row r="632" spans="2:5" x14ac:dyDescent="0.4">
      <c r="B632" s="35">
        <v>26</v>
      </c>
      <c r="C632" s="36">
        <v>42248</v>
      </c>
      <c r="D632" s="37" t="s">
        <v>15</v>
      </c>
      <c r="E632" s="38">
        <v>7000</v>
      </c>
    </row>
    <row r="633" spans="2:5" x14ac:dyDescent="0.4">
      <c r="B633" s="35">
        <v>26</v>
      </c>
      <c r="C633" s="36">
        <v>42339</v>
      </c>
      <c r="D633" s="37" t="s">
        <v>15</v>
      </c>
      <c r="E633" s="38">
        <v>7000</v>
      </c>
    </row>
    <row r="634" spans="2:5" x14ac:dyDescent="0.4">
      <c r="B634" s="35">
        <v>26</v>
      </c>
      <c r="C634" s="36">
        <v>42430</v>
      </c>
      <c r="D634" s="37" t="s">
        <v>15</v>
      </c>
      <c r="E634" s="38">
        <v>7000</v>
      </c>
    </row>
    <row r="635" spans="2:5" x14ac:dyDescent="0.4">
      <c r="B635" s="35">
        <v>26</v>
      </c>
      <c r="C635" s="36">
        <v>42522</v>
      </c>
      <c r="D635" s="37" t="s">
        <v>15</v>
      </c>
      <c r="E635" s="38">
        <v>7000</v>
      </c>
    </row>
    <row r="636" spans="2:5" x14ac:dyDescent="0.4">
      <c r="B636" s="35">
        <v>26</v>
      </c>
      <c r="C636" s="36">
        <v>42614</v>
      </c>
      <c r="D636" s="37" t="s">
        <v>15</v>
      </c>
      <c r="E636" s="38">
        <v>14000</v>
      </c>
    </row>
    <row r="637" spans="2:5" x14ac:dyDescent="0.4">
      <c r="B637" s="35">
        <v>26</v>
      </c>
      <c r="C637" s="36">
        <v>42705</v>
      </c>
      <c r="D637" s="37" t="s">
        <v>15</v>
      </c>
      <c r="E637" s="38">
        <v>21000</v>
      </c>
    </row>
    <row r="638" spans="2:5" x14ac:dyDescent="0.4">
      <c r="B638" s="35">
        <v>26</v>
      </c>
      <c r="C638" s="36">
        <v>42795</v>
      </c>
      <c r="D638" s="37" t="s">
        <v>15</v>
      </c>
      <c r="E638" s="38">
        <v>8925</v>
      </c>
    </row>
    <row r="639" spans="2:5" x14ac:dyDescent="0.4">
      <c r="B639" s="35">
        <v>26</v>
      </c>
      <c r="C639" s="36">
        <v>42887</v>
      </c>
      <c r="D639" s="37" t="s">
        <v>15</v>
      </c>
      <c r="E639" s="38">
        <v>14875</v>
      </c>
    </row>
    <row r="640" spans="2:5" x14ac:dyDescent="0.4">
      <c r="B640" s="35">
        <v>26</v>
      </c>
      <c r="C640" s="36">
        <v>42979</v>
      </c>
      <c r="D640" s="37" t="s">
        <v>15</v>
      </c>
      <c r="E640" s="38">
        <v>20562.5</v>
      </c>
    </row>
    <row r="641" spans="2:5" x14ac:dyDescent="0.4">
      <c r="B641" s="35">
        <v>26</v>
      </c>
      <c r="C641" s="36">
        <v>42156</v>
      </c>
      <c r="D641" s="37" t="s">
        <v>14</v>
      </c>
      <c r="E641" s="38">
        <v>22750</v>
      </c>
    </row>
    <row r="642" spans="2:5" x14ac:dyDescent="0.4">
      <c r="B642" s="35">
        <v>27</v>
      </c>
      <c r="C642" s="36">
        <v>42156</v>
      </c>
      <c r="D642" s="37" t="s">
        <v>2</v>
      </c>
      <c r="E642" s="38">
        <v>19813.012295081968</v>
      </c>
    </row>
    <row r="643" spans="2:5" x14ac:dyDescent="0.4">
      <c r="B643" s="35">
        <v>27</v>
      </c>
      <c r="C643" s="36">
        <v>42248</v>
      </c>
      <c r="D643" s="37" t="s">
        <v>2</v>
      </c>
      <c r="E643" s="38">
        <v>24303.961656135001</v>
      </c>
    </row>
    <row r="644" spans="2:5" x14ac:dyDescent="0.4">
      <c r="B644" s="35">
        <v>27</v>
      </c>
      <c r="C644" s="36">
        <v>42339</v>
      </c>
      <c r="D644" s="37" t="s">
        <v>2</v>
      </c>
      <c r="E644" s="38">
        <v>24303.961656135001</v>
      </c>
    </row>
    <row r="645" spans="2:5" x14ac:dyDescent="0.4">
      <c r="B645" s="35">
        <v>27</v>
      </c>
      <c r="C645" s="36">
        <v>42430</v>
      </c>
      <c r="D645" s="37" t="s">
        <v>2</v>
      </c>
      <c r="E645" s="38">
        <v>24039.786767500009</v>
      </c>
    </row>
    <row r="646" spans="2:5" x14ac:dyDescent="0.4">
      <c r="B646" s="35">
        <v>27</v>
      </c>
      <c r="C646" s="36">
        <v>42522</v>
      </c>
      <c r="D646" s="37" t="s">
        <v>2</v>
      </c>
      <c r="E646" s="38">
        <v>25977.581472500009</v>
      </c>
    </row>
    <row r="647" spans="2:5" x14ac:dyDescent="0.4">
      <c r="B647" s="35">
        <v>27</v>
      </c>
      <c r="C647" s="36">
        <v>42614</v>
      </c>
      <c r="D647" s="37" t="s">
        <v>2</v>
      </c>
      <c r="E647" s="38">
        <v>26680.987672500014</v>
      </c>
    </row>
    <row r="648" spans="2:5" x14ac:dyDescent="0.4">
      <c r="B648" s="35">
        <v>27</v>
      </c>
      <c r="C648" s="36">
        <v>42705</v>
      </c>
      <c r="D648" s="37" t="s">
        <v>2</v>
      </c>
      <c r="E648" s="38">
        <v>26680.987672500014</v>
      </c>
    </row>
    <row r="649" spans="2:5" x14ac:dyDescent="0.4">
      <c r="B649" s="35">
        <v>27</v>
      </c>
      <c r="C649" s="36">
        <v>42795</v>
      </c>
      <c r="D649" s="37" t="s">
        <v>2</v>
      </c>
      <c r="E649" s="38">
        <v>26100.969195000005</v>
      </c>
    </row>
    <row r="650" spans="2:5" x14ac:dyDescent="0.4">
      <c r="B650" s="35">
        <v>27</v>
      </c>
      <c r="C650" s="36">
        <v>42887</v>
      </c>
      <c r="D650" s="37" t="s">
        <v>2</v>
      </c>
      <c r="E650" s="38">
        <v>29456.035402500005</v>
      </c>
    </row>
    <row r="651" spans="2:5" x14ac:dyDescent="0.4">
      <c r="B651" s="35">
        <v>27</v>
      </c>
      <c r="C651" s="36">
        <v>42979</v>
      </c>
      <c r="D651" s="37" t="s">
        <v>2</v>
      </c>
      <c r="E651" s="38">
        <v>30859.872242500005</v>
      </c>
    </row>
    <row r="652" spans="2:5" x14ac:dyDescent="0.4">
      <c r="B652" s="35">
        <v>27</v>
      </c>
      <c r="C652" s="36">
        <v>42522</v>
      </c>
      <c r="D652" s="37" t="s">
        <v>14</v>
      </c>
      <c r="E652" s="38">
        <v>22403.5</v>
      </c>
    </row>
    <row r="653" spans="2:5" x14ac:dyDescent="0.4">
      <c r="B653" s="35">
        <v>27</v>
      </c>
      <c r="C653" s="36">
        <v>42795</v>
      </c>
      <c r="D653" s="37" t="s">
        <v>14</v>
      </c>
      <c r="E653" s="38">
        <v>25275.25</v>
      </c>
    </row>
    <row r="654" spans="2:5" x14ac:dyDescent="0.4">
      <c r="B654" s="35">
        <v>27</v>
      </c>
      <c r="C654" s="36">
        <v>42887</v>
      </c>
      <c r="D654" s="37" t="s">
        <v>14</v>
      </c>
      <c r="E654" s="38">
        <v>30485</v>
      </c>
    </row>
    <row r="655" spans="2:5" x14ac:dyDescent="0.4">
      <c r="B655" s="35">
        <v>28</v>
      </c>
      <c r="C655" s="36">
        <v>41883</v>
      </c>
      <c r="D655" s="37" t="s">
        <v>2</v>
      </c>
      <c r="E655" s="38">
        <v>26505.89315068494</v>
      </c>
    </row>
    <row r="656" spans="2:5" x14ac:dyDescent="0.4">
      <c r="B656" s="35">
        <v>28</v>
      </c>
      <c r="C656" s="36">
        <v>41974</v>
      </c>
      <c r="D656" s="37" t="s">
        <v>2</v>
      </c>
      <c r="E656" s="38">
        <v>26505.893150684929</v>
      </c>
    </row>
    <row r="657" spans="2:5" x14ac:dyDescent="0.4">
      <c r="B657" s="35">
        <v>28</v>
      </c>
      <c r="C657" s="36">
        <v>42064</v>
      </c>
      <c r="D657" s="37" t="s">
        <v>2</v>
      </c>
      <c r="E657" s="38">
        <v>25929.678082191775</v>
      </c>
    </row>
    <row r="658" spans="2:5" x14ac:dyDescent="0.4">
      <c r="B658" s="35">
        <v>28</v>
      </c>
      <c r="C658" s="36">
        <v>42156</v>
      </c>
      <c r="D658" s="37" t="s">
        <v>2</v>
      </c>
      <c r="E658" s="38">
        <v>25929.678082191778</v>
      </c>
    </row>
    <row r="659" spans="2:5" x14ac:dyDescent="0.4">
      <c r="B659" s="35">
        <v>28</v>
      </c>
      <c r="C659" s="36">
        <v>42248</v>
      </c>
      <c r="D659" s="37" t="s">
        <v>2</v>
      </c>
      <c r="E659" s="38">
        <v>25626.098353292502</v>
      </c>
    </row>
    <row r="660" spans="2:5" x14ac:dyDescent="0.4">
      <c r="B660" s="35">
        <v>28</v>
      </c>
      <c r="C660" s="36">
        <v>42339</v>
      </c>
      <c r="D660" s="37" t="s">
        <v>2</v>
      </c>
      <c r="E660" s="38">
        <v>25626.098376716251</v>
      </c>
    </row>
    <row r="661" spans="2:5" x14ac:dyDescent="0.4">
      <c r="B661" s="35">
        <v>28</v>
      </c>
      <c r="C661" s="36">
        <v>42430</v>
      </c>
      <c r="D661" s="37" t="s">
        <v>2</v>
      </c>
      <c r="E661" s="38">
        <v>25347.550655000006</v>
      </c>
    </row>
    <row r="662" spans="2:5" x14ac:dyDescent="0.4">
      <c r="B662" s="35">
        <v>28</v>
      </c>
      <c r="C662" s="36">
        <v>42522</v>
      </c>
      <c r="D662" s="37" t="s">
        <v>2</v>
      </c>
      <c r="E662" s="38">
        <v>25347.5556775</v>
      </c>
    </row>
    <row r="663" spans="2:5" x14ac:dyDescent="0.4">
      <c r="B663" s="35">
        <v>28</v>
      </c>
      <c r="C663" s="36">
        <v>42614</v>
      </c>
      <c r="D663" s="37" t="s">
        <v>2</v>
      </c>
      <c r="E663" s="38">
        <v>28470.226452499992</v>
      </c>
    </row>
    <row r="664" spans="2:5" x14ac:dyDescent="0.4">
      <c r="B664" s="35">
        <v>28</v>
      </c>
      <c r="C664" s="36">
        <v>42705</v>
      </c>
      <c r="D664" s="37" t="s">
        <v>2</v>
      </c>
      <c r="E664" s="38">
        <v>28470.226452499996</v>
      </c>
    </row>
    <row r="665" spans="2:5" x14ac:dyDescent="0.4">
      <c r="B665" s="35">
        <v>28</v>
      </c>
      <c r="C665" s="36">
        <v>42795</v>
      </c>
      <c r="D665" s="37" t="s">
        <v>2</v>
      </c>
      <c r="E665" s="38">
        <v>27851.309167499996</v>
      </c>
    </row>
    <row r="666" spans="2:5" x14ac:dyDescent="0.4">
      <c r="B666" s="35">
        <v>28</v>
      </c>
      <c r="C666" s="36">
        <v>42887</v>
      </c>
      <c r="D666" s="37" t="s">
        <v>2</v>
      </c>
      <c r="E666" s="38">
        <v>28448.478320499995</v>
      </c>
    </row>
    <row r="667" spans="2:5" x14ac:dyDescent="0.4">
      <c r="B667" s="35">
        <v>28</v>
      </c>
      <c r="C667" s="36">
        <v>42979</v>
      </c>
      <c r="D667" s="37" t="s">
        <v>2</v>
      </c>
      <c r="E667" s="38">
        <v>26469.415577499996</v>
      </c>
    </row>
    <row r="668" spans="2:5" x14ac:dyDescent="0.4">
      <c r="B668" s="35">
        <v>28</v>
      </c>
      <c r="C668" s="36">
        <v>42064</v>
      </c>
      <c r="D668" s="37" t="s">
        <v>16</v>
      </c>
      <c r="E668" s="38">
        <v>16.087551299589222</v>
      </c>
    </row>
    <row r="669" spans="2:5" x14ac:dyDescent="0.4">
      <c r="B669" s="35">
        <v>28</v>
      </c>
      <c r="C669" s="36">
        <v>42156</v>
      </c>
      <c r="D669" s="37" t="s">
        <v>16</v>
      </c>
      <c r="E669" s="38">
        <v>365.99179206566356</v>
      </c>
    </row>
    <row r="670" spans="2:5" x14ac:dyDescent="0.4">
      <c r="B670" s="35">
        <v>28</v>
      </c>
      <c r="C670" s="36">
        <v>42248</v>
      </c>
      <c r="D670" s="37" t="s">
        <v>16</v>
      </c>
      <c r="E670" s="38">
        <v>405.17892864677964</v>
      </c>
    </row>
    <row r="671" spans="2:5" x14ac:dyDescent="0.4">
      <c r="B671" s="35">
        <v>28</v>
      </c>
      <c r="C671" s="36">
        <v>42339</v>
      </c>
      <c r="D671" s="37" t="s">
        <v>16</v>
      </c>
      <c r="E671" s="38">
        <v>517.0683565074761</v>
      </c>
    </row>
    <row r="672" spans="2:5" x14ac:dyDescent="0.4">
      <c r="B672" s="35">
        <v>28</v>
      </c>
      <c r="C672" s="36">
        <v>42430</v>
      </c>
      <c r="D672" s="37" t="s">
        <v>16</v>
      </c>
      <c r="E672" s="38">
        <v>518.28724340485815</v>
      </c>
    </row>
    <row r="673" spans="2:5" x14ac:dyDescent="0.4">
      <c r="B673" s="35">
        <v>28</v>
      </c>
      <c r="C673" s="36">
        <v>42522</v>
      </c>
      <c r="D673" s="37" t="s">
        <v>16</v>
      </c>
      <c r="E673" s="38">
        <v>716.98217913160784</v>
      </c>
    </row>
    <row r="674" spans="2:5" x14ac:dyDescent="0.4">
      <c r="B674" s="35">
        <v>28</v>
      </c>
      <c r="C674" s="36">
        <v>42614</v>
      </c>
      <c r="D674" s="37" t="s">
        <v>16</v>
      </c>
      <c r="E674" s="38">
        <v>841.91607071231147</v>
      </c>
    </row>
    <row r="675" spans="2:5" x14ac:dyDescent="0.4">
      <c r="B675" s="35">
        <v>28</v>
      </c>
      <c r="C675" s="36">
        <v>42705</v>
      </c>
      <c r="D675" s="37" t="s">
        <v>16</v>
      </c>
      <c r="E675" s="38">
        <v>1101.2602906934012</v>
      </c>
    </row>
    <row r="676" spans="2:5" x14ac:dyDescent="0.4">
      <c r="B676" s="35">
        <v>28</v>
      </c>
      <c r="C676" s="36">
        <v>42795</v>
      </c>
      <c r="D676" s="37" t="s">
        <v>16</v>
      </c>
      <c r="E676" s="38">
        <v>1110.4409437026966</v>
      </c>
    </row>
    <row r="677" spans="2:5" x14ac:dyDescent="0.4">
      <c r="B677" s="35">
        <v>28</v>
      </c>
      <c r="C677" s="36">
        <v>42887</v>
      </c>
      <c r="D677" s="37" t="s">
        <v>16</v>
      </c>
      <c r="E677" s="38">
        <v>1465.9726027397257</v>
      </c>
    </row>
    <row r="678" spans="2:5" x14ac:dyDescent="0.4">
      <c r="B678" s="35">
        <v>28</v>
      </c>
      <c r="C678" s="36">
        <v>42979</v>
      </c>
      <c r="D678" s="37" t="s">
        <v>16</v>
      </c>
      <c r="E678" s="38">
        <v>1482.0821917808221</v>
      </c>
    </row>
    <row r="679" spans="2:5" x14ac:dyDescent="0.4">
      <c r="B679" s="35">
        <v>28</v>
      </c>
      <c r="C679" s="36">
        <v>42795</v>
      </c>
      <c r="D679" s="37" t="s">
        <v>15</v>
      </c>
      <c r="E679" s="38">
        <v>1557.5</v>
      </c>
    </row>
    <row r="680" spans="2:5" x14ac:dyDescent="0.4">
      <c r="B680" s="35">
        <v>28</v>
      </c>
      <c r="C680" s="36">
        <v>42887</v>
      </c>
      <c r="D680" s="37" t="s">
        <v>15</v>
      </c>
      <c r="E680" s="38">
        <v>1557.5</v>
      </c>
    </row>
    <row r="681" spans="2:5" x14ac:dyDescent="0.4">
      <c r="B681" s="35">
        <v>28</v>
      </c>
      <c r="C681" s="36">
        <v>42248</v>
      </c>
      <c r="D681" s="37" t="s">
        <v>14</v>
      </c>
      <c r="E681" s="38">
        <v>1750</v>
      </c>
    </row>
    <row r="682" spans="2:5" x14ac:dyDescent="0.4">
      <c r="B682" s="35">
        <v>28</v>
      </c>
      <c r="C682" s="36">
        <v>42522</v>
      </c>
      <c r="D682" s="37" t="s">
        <v>14</v>
      </c>
      <c r="E682" s="38">
        <v>8258.6</v>
      </c>
    </row>
    <row r="683" spans="2:5" x14ac:dyDescent="0.4">
      <c r="B683" s="35">
        <v>29</v>
      </c>
      <c r="C683" s="36">
        <v>41883</v>
      </c>
      <c r="D683" s="37" t="s">
        <v>2</v>
      </c>
      <c r="E683" s="38">
        <v>18418.84109589041</v>
      </c>
    </row>
    <row r="684" spans="2:5" x14ac:dyDescent="0.4">
      <c r="B684" s="35">
        <v>29</v>
      </c>
      <c r="C684" s="36">
        <v>41974</v>
      </c>
      <c r="D684" s="37" t="s">
        <v>2</v>
      </c>
      <c r="E684" s="38">
        <v>18418.84109589041</v>
      </c>
    </row>
    <row r="685" spans="2:5" x14ac:dyDescent="0.4">
      <c r="B685" s="35">
        <v>29</v>
      </c>
      <c r="C685" s="36">
        <v>42064</v>
      </c>
      <c r="D685" s="37" t="s">
        <v>2</v>
      </c>
      <c r="E685" s="38">
        <v>18018.431506849312</v>
      </c>
    </row>
    <row r="686" spans="2:5" x14ac:dyDescent="0.4">
      <c r="B686" s="35">
        <v>29</v>
      </c>
      <c r="C686" s="36">
        <v>42156</v>
      </c>
      <c r="D686" s="37" t="s">
        <v>2</v>
      </c>
      <c r="E686" s="38">
        <v>18018.431506849312</v>
      </c>
    </row>
    <row r="687" spans="2:5" x14ac:dyDescent="0.4">
      <c r="B687" s="35">
        <v>29</v>
      </c>
      <c r="C687" s="36">
        <v>42248</v>
      </c>
      <c r="D687" s="37" t="s">
        <v>2</v>
      </c>
      <c r="E687" s="38">
        <v>20205.367506957504</v>
      </c>
    </row>
    <row r="688" spans="2:5" x14ac:dyDescent="0.4">
      <c r="B688" s="35">
        <v>29</v>
      </c>
      <c r="C688" s="36">
        <v>42339</v>
      </c>
      <c r="D688" s="37" t="s">
        <v>2</v>
      </c>
      <c r="E688" s="38">
        <v>20205.367506957504</v>
      </c>
    </row>
    <row r="689" spans="2:5" x14ac:dyDescent="0.4">
      <c r="B689" s="35">
        <v>29</v>
      </c>
      <c r="C689" s="36">
        <v>42430</v>
      </c>
      <c r="D689" s="37" t="s">
        <v>2</v>
      </c>
      <c r="E689" s="38">
        <v>19985.745255000005</v>
      </c>
    </row>
    <row r="690" spans="2:5" x14ac:dyDescent="0.4">
      <c r="B690" s="35">
        <v>29</v>
      </c>
      <c r="C690" s="36">
        <v>42522</v>
      </c>
      <c r="D690" s="37" t="s">
        <v>2</v>
      </c>
      <c r="E690" s="38">
        <v>19985.743119999999</v>
      </c>
    </row>
    <row r="691" spans="2:5" x14ac:dyDescent="0.4">
      <c r="B691" s="35">
        <v>29</v>
      </c>
      <c r="C691" s="36">
        <v>42614</v>
      </c>
      <c r="D691" s="37" t="s">
        <v>2</v>
      </c>
      <c r="E691" s="38">
        <v>20260.723595000003</v>
      </c>
    </row>
    <row r="692" spans="2:5" x14ac:dyDescent="0.4">
      <c r="B692" s="35">
        <v>29</v>
      </c>
      <c r="C692" s="36">
        <v>42705</v>
      </c>
      <c r="D692" s="37" t="s">
        <v>2</v>
      </c>
      <c r="E692" s="38">
        <v>20260.723595000003</v>
      </c>
    </row>
    <row r="693" spans="2:5" x14ac:dyDescent="0.4">
      <c r="B693" s="35">
        <v>29</v>
      </c>
      <c r="C693" s="36">
        <v>42795</v>
      </c>
      <c r="D693" s="37" t="s">
        <v>2</v>
      </c>
      <c r="E693" s="38">
        <v>19820.272990000005</v>
      </c>
    </row>
    <row r="694" spans="2:5" x14ac:dyDescent="0.4">
      <c r="B694" s="35">
        <v>29</v>
      </c>
      <c r="C694" s="36">
        <v>42887</v>
      </c>
      <c r="D694" s="37" t="s">
        <v>2</v>
      </c>
      <c r="E694" s="38">
        <v>20040.500147500003</v>
      </c>
    </row>
    <row r="695" spans="2:5" x14ac:dyDescent="0.4">
      <c r="B695" s="35">
        <v>29</v>
      </c>
      <c r="C695" s="36">
        <v>42979</v>
      </c>
      <c r="D695" s="37" t="s">
        <v>2</v>
      </c>
      <c r="E695" s="38">
        <v>20260.723594999999</v>
      </c>
    </row>
    <row r="696" spans="2:5" x14ac:dyDescent="0.4">
      <c r="B696" s="35">
        <v>29</v>
      </c>
      <c r="C696" s="36">
        <v>42248</v>
      </c>
      <c r="D696" s="37" t="s">
        <v>16</v>
      </c>
      <c r="E696" s="38">
        <v>3313.5394710594719</v>
      </c>
    </row>
    <row r="697" spans="2:5" x14ac:dyDescent="0.4">
      <c r="B697" s="35">
        <v>29</v>
      </c>
      <c r="C697" s="36">
        <v>42339</v>
      </c>
      <c r="D697" s="37" t="s">
        <v>16</v>
      </c>
      <c r="E697" s="38">
        <v>4231.5301405910132</v>
      </c>
    </row>
    <row r="698" spans="2:5" x14ac:dyDescent="0.4">
      <c r="B698" s="35">
        <v>29</v>
      </c>
      <c r="C698" s="36">
        <v>42430</v>
      </c>
      <c r="D698" s="37" t="s">
        <v>16</v>
      </c>
      <c r="E698" s="38">
        <v>4185.5352477585011</v>
      </c>
    </row>
    <row r="699" spans="2:5" x14ac:dyDescent="0.4">
      <c r="B699" s="35">
        <v>29</v>
      </c>
      <c r="C699" s="36">
        <v>42522</v>
      </c>
      <c r="D699" s="37" t="s">
        <v>16</v>
      </c>
      <c r="E699" s="38">
        <v>4185.5352477585029</v>
      </c>
    </row>
    <row r="700" spans="2:5" x14ac:dyDescent="0.4">
      <c r="B700" s="35">
        <v>29</v>
      </c>
      <c r="C700" s="36">
        <v>42614</v>
      </c>
      <c r="D700" s="37" t="s">
        <v>16</v>
      </c>
      <c r="E700" s="38">
        <v>4247.5770846133328</v>
      </c>
    </row>
    <row r="701" spans="2:5" x14ac:dyDescent="0.4">
      <c r="B701" s="35">
        <v>29</v>
      </c>
      <c r="C701" s="36">
        <v>42705</v>
      </c>
      <c r="D701" s="37" t="s">
        <v>16</v>
      </c>
      <c r="E701" s="38">
        <v>4247.7534246575333</v>
      </c>
    </row>
    <row r="702" spans="2:5" x14ac:dyDescent="0.4">
      <c r="B702" s="35">
        <v>29</v>
      </c>
      <c r="C702" s="36">
        <v>42795</v>
      </c>
      <c r="D702" s="37" t="s">
        <v>16</v>
      </c>
      <c r="E702" s="38">
        <v>4155.41095890411</v>
      </c>
    </row>
    <row r="703" spans="2:5" x14ac:dyDescent="0.4">
      <c r="B703" s="35">
        <v>29</v>
      </c>
      <c r="C703" s="36">
        <v>42887</v>
      </c>
      <c r="D703" s="37" t="s">
        <v>16</v>
      </c>
      <c r="E703" s="38">
        <v>4201.5821917808207</v>
      </c>
    </row>
    <row r="704" spans="2:5" x14ac:dyDescent="0.4">
      <c r="B704" s="35">
        <v>29</v>
      </c>
      <c r="C704" s="36">
        <v>42979</v>
      </c>
      <c r="D704" s="37" t="s">
        <v>16</v>
      </c>
      <c r="E704" s="38">
        <v>4247.7534246575351</v>
      </c>
    </row>
    <row r="705" spans="2:5" x14ac:dyDescent="0.4">
      <c r="B705" s="35">
        <v>29</v>
      </c>
      <c r="C705" s="36">
        <v>41974</v>
      </c>
      <c r="D705" s="37" t="s">
        <v>15</v>
      </c>
      <c r="E705" s="38">
        <v>3412.5</v>
      </c>
    </row>
    <row r="706" spans="2:5" x14ac:dyDescent="0.4">
      <c r="B706" s="35">
        <v>29</v>
      </c>
      <c r="C706" s="36">
        <v>42064</v>
      </c>
      <c r="D706" s="37" t="s">
        <v>15</v>
      </c>
      <c r="E706" s="38">
        <v>1706.25</v>
      </c>
    </row>
    <row r="707" spans="2:5" x14ac:dyDescent="0.4">
      <c r="B707" s="35">
        <v>29</v>
      </c>
      <c r="C707" s="36">
        <v>42156</v>
      </c>
      <c r="D707" s="37" t="s">
        <v>15</v>
      </c>
      <c r="E707" s="38">
        <v>1706.25</v>
      </c>
    </row>
    <row r="708" spans="2:5" x14ac:dyDescent="0.4">
      <c r="B708" s="35">
        <v>29</v>
      </c>
      <c r="C708" s="36">
        <v>42248</v>
      </c>
      <c r="D708" s="37" t="s">
        <v>15</v>
      </c>
      <c r="E708" s="38">
        <v>3412.5</v>
      </c>
    </row>
    <row r="709" spans="2:5" x14ac:dyDescent="0.4">
      <c r="B709" s="35">
        <v>29</v>
      </c>
      <c r="C709" s="36">
        <v>42339</v>
      </c>
      <c r="D709" s="37" t="s">
        <v>15</v>
      </c>
      <c r="E709" s="38">
        <v>3412.5</v>
      </c>
    </row>
    <row r="710" spans="2:5" x14ac:dyDescent="0.4">
      <c r="B710" s="35">
        <v>29</v>
      </c>
      <c r="C710" s="36">
        <v>42430</v>
      </c>
      <c r="D710" s="37" t="s">
        <v>15</v>
      </c>
      <c r="E710" s="38">
        <v>3412.5</v>
      </c>
    </row>
    <row r="711" spans="2:5" x14ac:dyDescent="0.4">
      <c r="B711" s="35">
        <v>29</v>
      </c>
      <c r="C711" s="36">
        <v>42522</v>
      </c>
      <c r="D711" s="37" t="s">
        <v>15</v>
      </c>
      <c r="E711" s="38">
        <v>3412.5</v>
      </c>
    </row>
    <row r="712" spans="2:5" x14ac:dyDescent="0.4">
      <c r="B712" s="35">
        <v>29</v>
      </c>
      <c r="C712" s="36">
        <v>42614</v>
      </c>
      <c r="D712" s="37" t="s">
        <v>15</v>
      </c>
      <c r="E712" s="38">
        <v>3412.5</v>
      </c>
    </row>
    <row r="713" spans="2:5" x14ac:dyDescent="0.4">
      <c r="B713" s="35">
        <v>29</v>
      </c>
      <c r="C713" s="36">
        <v>42705</v>
      </c>
      <c r="D713" s="37" t="s">
        <v>15</v>
      </c>
      <c r="E713" s="38">
        <v>3263.75</v>
      </c>
    </row>
    <row r="714" spans="2:5" x14ac:dyDescent="0.4">
      <c r="B714" s="35">
        <v>29</v>
      </c>
      <c r="C714" s="36">
        <v>42795</v>
      </c>
      <c r="D714" s="37" t="s">
        <v>15</v>
      </c>
      <c r="E714" s="38">
        <v>3115</v>
      </c>
    </row>
    <row r="715" spans="2:5" x14ac:dyDescent="0.4">
      <c r="B715" s="35">
        <v>29</v>
      </c>
      <c r="C715" s="36">
        <v>42887</v>
      </c>
      <c r="D715" s="37" t="s">
        <v>15</v>
      </c>
      <c r="E715" s="38">
        <v>1557.5</v>
      </c>
    </row>
    <row r="716" spans="2:5" x14ac:dyDescent="0.4">
      <c r="B716" s="35">
        <v>29</v>
      </c>
      <c r="C716" s="36">
        <v>42979</v>
      </c>
      <c r="D716" s="37" t="s">
        <v>15</v>
      </c>
      <c r="E716" s="38">
        <v>3045</v>
      </c>
    </row>
    <row r="717" spans="2:5" x14ac:dyDescent="0.4">
      <c r="B717" s="35">
        <v>30</v>
      </c>
      <c r="C717" s="36">
        <v>42795</v>
      </c>
      <c r="D717" s="37" t="s">
        <v>1</v>
      </c>
      <c r="E717" s="38">
        <v>5212.0505864446286</v>
      </c>
    </row>
    <row r="718" spans="2:5" x14ac:dyDescent="0.4">
      <c r="B718" s="35">
        <v>30</v>
      </c>
      <c r="C718" s="36">
        <v>42887</v>
      </c>
      <c r="D718" s="37" t="s">
        <v>1</v>
      </c>
      <c r="E718" s="38">
        <v>8507.1550835859452</v>
      </c>
    </row>
    <row r="719" spans="2:5" x14ac:dyDescent="0.4">
      <c r="B719" s="35">
        <v>30</v>
      </c>
      <c r="C719" s="36">
        <v>42979</v>
      </c>
      <c r="D719" s="37" t="s">
        <v>1</v>
      </c>
      <c r="E719" s="38">
        <v>9395.3637905854757</v>
      </c>
    </row>
    <row r="720" spans="2:5" x14ac:dyDescent="0.4">
      <c r="B720" s="35">
        <v>30</v>
      </c>
      <c r="C720" s="36">
        <v>42795</v>
      </c>
      <c r="D720" s="37" t="s">
        <v>16</v>
      </c>
      <c r="E720" s="38">
        <v>1441.175318963202</v>
      </c>
    </row>
    <row r="721" spans="2:5" x14ac:dyDescent="0.4">
      <c r="B721" s="35">
        <v>30</v>
      </c>
      <c r="C721" s="36">
        <v>42887</v>
      </c>
      <c r="D721" s="37" t="s">
        <v>16</v>
      </c>
      <c r="E721" s="38">
        <v>2163.7190135643295</v>
      </c>
    </row>
    <row r="722" spans="2:5" x14ac:dyDescent="0.4">
      <c r="B722" s="35">
        <v>30</v>
      </c>
      <c r="C722" s="36">
        <v>42979</v>
      </c>
      <c r="D722" s="37" t="s">
        <v>16</v>
      </c>
      <c r="E722" s="38">
        <v>2449.1073867993186</v>
      </c>
    </row>
    <row r="723" spans="2:5" x14ac:dyDescent="0.4">
      <c r="B723" s="35">
        <v>30</v>
      </c>
      <c r="C723" s="36">
        <v>42887</v>
      </c>
      <c r="D723" s="37" t="s">
        <v>15</v>
      </c>
      <c r="E723" s="38">
        <v>6177.5</v>
      </c>
    </row>
    <row r="724" spans="2:5" x14ac:dyDescent="0.4">
      <c r="B724" s="35">
        <v>30</v>
      </c>
      <c r="C724" s="36">
        <v>42979</v>
      </c>
      <c r="D724" s="37" t="s">
        <v>15</v>
      </c>
      <c r="E724" s="38">
        <v>14350</v>
      </c>
    </row>
    <row r="725" spans="2:5" x14ac:dyDescent="0.4">
      <c r="B725" s="35">
        <v>31</v>
      </c>
      <c r="C725" s="36">
        <v>42614</v>
      </c>
      <c r="D725" s="37" t="s">
        <v>1</v>
      </c>
      <c r="E725" s="38">
        <v>9638.8858695652179</v>
      </c>
    </row>
    <row r="726" spans="2:5" x14ac:dyDescent="0.4">
      <c r="B726" s="35">
        <v>31</v>
      </c>
      <c r="C726" s="36">
        <v>42705</v>
      </c>
      <c r="D726" s="37" t="s">
        <v>1</v>
      </c>
      <c r="E726" s="38">
        <v>23336.25</v>
      </c>
    </row>
    <row r="727" spans="2:5" x14ac:dyDescent="0.4">
      <c r="B727" s="35">
        <v>31</v>
      </c>
      <c r="C727" s="36">
        <v>42795</v>
      </c>
      <c r="D727" s="37" t="s">
        <v>1</v>
      </c>
      <c r="E727" s="38">
        <v>23575.485677396115</v>
      </c>
    </row>
    <row r="728" spans="2:5" x14ac:dyDescent="0.4">
      <c r="B728" s="35">
        <v>31</v>
      </c>
      <c r="C728" s="36">
        <v>42887</v>
      </c>
      <c r="D728" s="37" t="s">
        <v>1</v>
      </c>
      <c r="E728" s="38">
        <v>24969.69613259668</v>
      </c>
    </row>
    <row r="729" spans="2:5" x14ac:dyDescent="0.4">
      <c r="B729" s="35">
        <v>31</v>
      </c>
      <c r="C729" s="36">
        <v>42979</v>
      </c>
      <c r="D729" s="37" t="s">
        <v>1</v>
      </c>
      <c r="E729" s="38">
        <v>20315.730265647464</v>
      </c>
    </row>
    <row r="730" spans="2:5" x14ac:dyDescent="0.4">
      <c r="B730" s="35">
        <v>31</v>
      </c>
      <c r="C730" s="36">
        <v>41883</v>
      </c>
      <c r="D730" s="37" t="s">
        <v>2</v>
      </c>
      <c r="E730" s="38">
        <v>9184.4986301369863</v>
      </c>
    </row>
    <row r="731" spans="2:5" x14ac:dyDescent="0.4">
      <c r="B731" s="35">
        <v>31</v>
      </c>
      <c r="C731" s="36">
        <v>41974</v>
      </c>
      <c r="D731" s="37" t="s">
        <v>2</v>
      </c>
      <c r="E731" s="38">
        <v>9184.4986301369863</v>
      </c>
    </row>
    <row r="732" spans="2:5" x14ac:dyDescent="0.4">
      <c r="B732" s="35">
        <v>31</v>
      </c>
      <c r="C732" s="36">
        <v>42064</v>
      </c>
      <c r="D732" s="37" t="s">
        <v>2</v>
      </c>
      <c r="E732" s="38">
        <v>8984.8356164383567</v>
      </c>
    </row>
    <row r="733" spans="2:5" x14ac:dyDescent="0.4">
      <c r="B733" s="35">
        <v>31</v>
      </c>
      <c r="C733" s="36">
        <v>42156</v>
      </c>
      <c r="D733" s="37" t="s">
        <v>2</v>
      </c>
      <c r="E733" s="38">
        <v>9793.1743767123298</v>
      </c>
    </row>
    <row r="734" spans="2:5" x14ac:dyDescent="0.4">
      <c r="B734" s="35">
        <v>31</v>
      </c>
      <c r="C734" s="36">
        <v>42248</v>
      </c>
      <c r="D734" s="37" t="s">
        <v>2</v>
      </c>
      <c r="E734" s="38">
        <v>9425.9172228549996</v>
      </c>
    </row>
    <row r="735" spans="2:5" x14ac:dyDescent="0.4">
      <c r="B735" s="35">
        <v>31</v>
      </c>
      <c r="C735" s="36">
        <v>42339</v>
      </c>
      <c r="D735" s="37" t="s">
        <v>2</v>
      </c>
      <c r="E735" s="38">
        <v>10075.3447447625</v>
      </c>
    </row>
    <row r="736" spans="2:5" x14ac:dyDescent="0.4">
      <c r="B736" s="35">
        <v>31</v>
      </c>
      <c r="C736" s="36">
        <v>42430</v>
      </c>
      <c r="D736" s="37" t="s">
        <v>2</v>
      </c>
      <c r="E736" s="38">
        <v>9965.8302274999987</v>
      </c>
    </row>
    <row r="737" spans="2:5" x14ac:dyDescent="0.4">
      <c r="B737" s="35">
        <v>31</v>
      </c>
      <c r="C737" s="36">
        <v>42522</v>
      </c>
      <c r="D737" s="37" t="s">
        <v>2</v>
      </c>
      <c r="E737" s="38">
        <v>9965.830034999999</v>
      </c>
    </row>
    <row r="738" spans="2:5" x14ac:dyDescent="0.4">
      <c r="B738" s="35">
        <v>31</v>
      </c>
      <c r="C738" s="36">
        <v>42614</v>
      </c>
      <c r="D738" s="37" t="s">
        <v>2</v>
      </c>
      <c r="E738" s="38">
        <v>8323.1110024999998</v>
      </c>
    </row>
    <row r="739" spans="2:5" x14ac:dyDescent="0.4">
      <c r="B739" s="35">
        <v>31</v>
      </c>
      <c r="C739" s="36">
        <v>42705</v>
      </c>
      <c r="D739" s="37" t="s">
        <v>16</v>
      </c>
      <c r="E739" s="38">
        <v>2094.2465753424658</v>
      </c>
    </row>
    <row r="740" spans="2:5" x14ac:dyDescent="0.4">
      <c r="B740" s="35">
        <v>31</v>
      </c>
      <c r="C740" s="36">
        <v>42795</v>
      </c>
      <c r="D740" s="37" t="s">
        <v>16</v>
      </c>
      <c r="E740" s="38">
        <v>1449.8630136986299</v>
      </c>
    </row>
    <row r="741" spans="2:5" x14ac:dyDescent="0.4">
      <c r="B741" s="35">
        <v>31</v>
      </c>
      <c r="C741" s="36">
        <v>42887</v>
      </c>
      <c r="D741" s="37" t="s">
        <v>16</v>
      </c>
      <c r="E741" s="38">
        <v>1465.9726027397262</v>
      </c>
    </row>
    <row r="742" spans="2:5" x14ac:dyDescent="0.4">
      <c r="B742" s="35">
        <v>31</v>
      </c>
      <c r="C742" s="36">
        <v>42979</v>
      </c>
      <c r="D742" s="37" t="s">
        <v>16</v>
      </c>
      <c r="E742" s="38">
        <v>1482.0821917808219</v>
      </c>
    </row>
    <row r="743" spans="2:5" x14ac:dyDescent="0.4">
      <c r="B743" s="35">
        <v>31</v>
      </c>
      <c r="C743" s="36">
        <v>41883</v>
      </c>
      <c r="D743" s="37" t="s">
        <v>15</v>
      </c>
      <c r="E743" s="38">
        <v>1706.25</v>
      </c>
    </row>
    <row r="744" spans="2:5" x14ac:dyDescent="0.4">
      <c r="B744" s="35">
        <v>31</v>
      </c>
      <c r="C744" s="36">
        <v>41974</v>
      </c>
      <c r="D744" s="37" t="s">
        <v>15</v>
      </c>
      <c r="E744" s="38">
        <v>3412.5</v>
      </c>
    </row>
    <row r="745" spans="2:5" x14ac:dyDescent="0.4">
      <c r="B745" s="35">
        <v>31</v>
      </c>
      <c r="C745" s="36">
        <v>42064</v>
      </c>
      <c r="D745" s="37" t="s">
        <v>15</v>
      </c>
      <c r="E745" s="38">
        <v>1706.25</v>
      </c>
    </row>
    <row r="746" spans="2:5" x14ac:dyDescent="0.4">
      <c r="B746" s="35">
        <v>31</v>
      </c>
      <c r="C746" s="36">
        <v>42156</v>
      </c>
      <c r="D746" s="37" t="s">
        <v>15</v>
      </c>
      <c r="E746" s="38">
        <v>3412.5</v>
      </c>
    </row>
    <row r="747" spans="2:5" x14ac:dyDescent="0.4">
      <c r="B747" s="35">
        <v>31</v>
      </c>
      <c r="C747" s="36">
        <v>42248</v>
      </c>
      <c r="D747" s="37" t="s">
        <v>15</v>
      </c>
      <c r="E747" s="38">
        <v>1706.25</v>
      </c>
    </row>
    <row r="748" spans="2:5" x14ac:dyDescent="0.4">
      <c r="B748" s="35">
        <v>31</v>
      </c>
      <c r="C748" s="36">
        <v>42339</v>
      </c>
      <c r="D748" s="37" t="s">
        <v>15</v>
      </c>
      <c r="E748" s="38">
        <v>3412.5</v>
      </c>
    </row>
    <row r="749" spans="2:5" x14ac:dyDescent="0.4">
      <c r="B749" s="35">
        <v>31</v>
      </c>
      <c r="C749" s="36">
        <v>42430</v>
      </c>
      <c r="D749" s="37" t="s">
        <v>15</v>
      </c>
      <c r="E749" s="38">
        <v>1706.25</v>
      </c>
    </row>
    <row r="750" spans="2:5" x14ac:dyDescent="0.4">
      <c r="B750" s="35">
        <v>31</v>
      </c>
      <c r="C750" s="36">
        <v>42614</v>
      </c>
      <c r="D750" s="37" t="s">
        <v>15</v>
      </c>
      <c r="E750" s="38">
        <v>1557.5</v>
      </c>
    </row>
    <row r="751" spans="2:5" x14ac:dyDescent="0.4">
      <c r="B751" s="35">
        <v>31</v>
      </c>
      <c r="C751" s="36">
        <v>42795</v>
      </c>
      <c r="D751" s="37" t="s">
        <v>15</v>
      </c>
      <c r="E751" s="38">
        <v>1557.5</v>
      </c>
    </row>
    <row r="752" spans="2:5" x14ac:dyDescent="0.4">
      <c r="B752" s="35">
        <v>31</v>
      </c>
      <c r="C752" s="36">
        <v>42887</v>
      </c>
      <c r="D752" s="37" t="s">
        <v>15</v>
      </c>
      <c r="E752" s="38">
        <v>2562</v>
      </c>
    </row>
    <row r="753" spans="2:5" x14ac:dyDescent="0.4">
      <c r="B753" s="35">
        <v>31</v>
      </c>
      <c r="C753" s="36">
        <v>42979</v>
      </c>
      <c r="D753" s="37" t="s">
        <v>15</v>
      </c>
      <c r="E753" s="38">
        <v>2117.5</v>
      </c>
    </row>
    <row r="754" spans="2:5" x14ac:dyDescent="0.4">
      <c r="B754" s="35">
        <v>31</v>
      </c>
      <c r="C754" s="36">
        <v>42156</v>
      </c>
      <c r="D754" s="37" t="s">
        <v>14</v>
      </c>
      <c r="E754" s="38">
        <v>13473.25</v>
      </c>
    </row>
    <row r="755" spans="2:5" x14ac:dyDescent="0.4">
      <c r="B755" s="35">
        <v>32</v>
      </c>
      <c r="C755" s="36">
        <v>41883</v>
      </c>
      <c r="D755" s="37" t="s">
        <v>2</v>
      </c>
      <c r="E755" s="38">
        <v>16931.465753424647</v>
      </c>
    </row>
    <row r="756" spans="2:5" x14ac:dyDescent="0.4">
      <c r="B756" s="35">
        <v>32</v>
      </c>
      <c r="C756" s="36">
        <v>41974</v>
      </c>
      <c r="D756" s="37" t="s">
        <v>2</v>
      </c>
      <c r="E756" s="38">
        <v>16931.465753424651</v>
      </c>
    </row>
    <row r="757" spans="2:5" x14ac:dyDescent="0.4">
      <c r="B757" s="35">
        <v>32</v>
      </c>
      <c r="C757" s="36">
        <v>42064</v>
      </c>
      <c r="D757" s="37" t="s">
        <v>2</v>
      </c>
      <c r="E757" s="38">
        <v>16563.390410958898</v>
      </c>
    </row>
    <row r="758" spans="2:5" x14ac:dyDescent="0.4">
      <c r="B758" s="35">
        <v>32</v>
      </c>
      <c r="C758" s="36">
        <v>42156</v>
      </c>
      <c r="D758" s="37" t="s">
        <v>2</v>
      </c>
      <c r="E758" s="38">
        <v>15487.889063552662</v>
      </c>
    </row>
    <row r="759" spans="2:5" x14ac:dyDescent="0.4">
      <c r="B759" s="35">
        <v>32</v>
      </c>
      <c r="C759" s="36">
        <v>42248</v>
      </c>
      <c r="D759" s="37" t="s">
        <v>2</v>
      </c>
      <c r="E759" s="38">
        <v>13933.098984376253</v>
      </c>
    </row>
    <row r="760" spans="2:5" x14ac:dyDescent="0.4">
      <c r="B760" s="35">
        <v>32</v>
      </c>
      <c r="C760" s="36">
        <v>42339</v>
      </c>
      <c r="D760" s="37" t="s">
        <v>2</v>
      </c>
      <c r="E760" s="38">
        <v>13933.098984376249</v>
      </c>
    </row>
    <row r="761" spans="2:5" x14ac:dyDescent="0.4">
      <c r="B761" s="35">
        <v>32</v>
      </c>
      <c r="C761" s="36">
        <v>42430</v>
      </c>
      <c r="D761" s="37" t="s">
        <v>2</v>
      </c>
      <c r="E761" s="38">
        <v>13781.651199749998</v>
      </c>
    </row>
    <row r="762" spans="2:5" x14ac:dyDescent="0.4">
      <c r="B762" s="35">
        <v>32</v>
      </c>
      <c r="C762" s="36">
        <v>42522</v>
      </c>
      <c r="D762" s="37" t="s">
        <v>2</v>
      </c>
      <c r="E762" s="38">
        <v>14463.487485999998</v>
      </c>
    </row>
    <row r="763" spans="2:5" x14ac:dyDescent="0.4">
      <c r="B763" s="35">
        <v>32</v>
      </c>
      <c r="C763" s="36">
        <v>42614</v>
      </c>
      <c r="D763" s="37" t="s">
        <v>2</v>
      </c>
      <c r="E763" s="38">
        <v>15368.265933999997</v>
      </c>
    </row>
    <row r="764" spans="2:5" x14ac:dyDescent="0.4">
      <c r="B764" s="35">
        <v>32</v>
      </c>
      <c r="C764" s="36">
        <v>42705</v>
      </c>
      <c r="D764" s="37" t="s">
        <v>2</v>
      </c>
      <c r="E764" s="38">
        <v>15368.265934000001</v>
      </c>
    </row>
    <row r="765" spans="2:5" x14ac:dyDescent="0.4">
      <c r="B765" s="35">
        <v>32</v>
      </c>
      <c r="C765" s="36">
        <v>42795</v>
      </c>
      <c r="D765" s="37" t="s">
        <v>2</v>
      </c>
      <c r="E765" s="38">
        <v>15034.172506499999</v>
      </c>
    </row>
    <row r="766" spans="2:5" x14ac:dyDescent="0.4">
      <c r="B766" s="35">
        <v>32</v>
      </c>
      <c r="C766" s="36">
        <v>42887</v>
      </c>
      <c r="D766" s="37" t="s">
        <v>2</v>
      </c>
      <c r="E766" s="38">
        <v>14693.595664999999</v>
      </c>
    </row>
    <row r="767" spans="2:5" x14ac:dyDescent="0.4">
      <c r="B767" s="35">
        <v>32</v>
      </c>
      <c r="C767" s="36">
        <v>42979</v>
      </c>
      <c r="D767" s="37" t="s">
        <v>2</v>
      </c>
      <c r="E767" s="38">
        <v>13994.692683999998</v>
      </c>
    </row>
    <row r="768" spans="2:5" x14ac:dyDescent="0.4">
      <c r="B768" s="35">
        <v>32</v>
      </c>
      <c r="C768" s="36">
        <v>42156</v>
      </c>
      <c r="D768" s="37" t="s">
        <v>16</v>
      </c>
      <c r="E768" s="38">
        <v>542.95485636114938</v>
      </c>
    </row>
    <row r="769" spans="2:5" x14ac:dyDescent="0.4">
      <c r="B769" s="35">
        <v>32</v>
      </c>
      <c r="C769" s="36">
        <v>42248</v>
      </c>
      <c r="D769" s="37" t="s">
        <v>16</v>
      </c>
      <c r="E769" s="38">
        <v>666.02462380300972</v>
      </c>
    </row>
    <row r="770" spans="2:5" x14ac:dyDescent="0.4">
      <c r="B770" s="35">
        <v>32</v>
      </c>
      <c r="C770" s="36">
        <v>42339</v>
      </c>
      <c r="D770" s="37" t="s">
        <v>16</v>
      </c>
      <c r="E770" s="38">
        <v>666.02462380300926</v>
      </c>
    </row>
    <row r="771" spans="2:5" x14ac:dyDescent="0.4">
      <c r="B771" s="35">
        <v>32</v>
      </c>
      <c r="C771" s="36">
        <v>42430</v>
      </c>
      <c r="D771" s="37" t="s">
        <v>16</v>
      </c>
      <c r="E771" s="38">
        <v>658.78522571819417</v>
      </c>
    </row>
    <row r="772" spans="2:5" x14ac:dyDescent="0.4">
      <c r="B772" s="35">
        <v>32</v>
      </c>
      <c r="C772" s="36">
        <v>42522</v>
      </c>
      <c r="D772" s="37" t="s">
        <v>16</v>
      </c>
      <c r="E772" s="38">
        <v>658.78522571819417</v>
      </c>
    </row>
    <row r="773" spans="2:5" x14ac:dyDescent="0.4">
      <c r="B773" s="35">
        <v>32</v>
      </c>
      <c r="C773" s="36">
        <v>42614</v>
      </c>
      <c r="D773" s="37" t="s">
        <v>16</v>
      </c>
      <c r="E773" s="38">
        <v>666.02462380300972</v>
      </c>
    </row>
    <row r="774" spans="2:5" x14ac:dyDescent="0.4">
      <c r="B774" s="35">
        <v>32</v>
      </c>
      <c r="C774" s="36">
        <v>42705</v>
      </c>
      <c r="D774" s="37" t="s">
        <v>16</v>
      </c>
      <c r="E774" s="38">
        <v>666.02462380300949</v>
      </c>
    </row>
    <row r="775" spans="2:5" x14ac:dyDescent="0.4">
      <c r="B775" s="35">
        <v>32</v>
      </c>
      <c r="C775" s="36">
        <v>42795</v>
      </c>
      <c r="D775" s="37" t="s">
        <v>16</v>
      </c>
      <c r="E775" s="38">
        <v>651.54582763337953</v>
      </c>
    </row>
    <row r="776" spans="2:5" x14ac:dyDescent="0.4">
      <c r="B776" s="35">
        <v>32</v>
      </c>
      <c r="C776" s="36">
        <v>42887</v>
      </c>
      <c r="D776" s="37" t="s">
        <v>16</v>
      </c>
      <c r="E776" s="38">
        <v>1203.2276296310174</v>
      </c>
    </row>
    <row r="777" spans="2:5" x14ac:dyDescent="0.4">
      <c r="B777" s="35">
        <v>32</v>
      </c>
      <c r="C777" s="36">
        <v>42979</v>
      </c>
      <c r="D777" s="37" t="s">
        <v>16</v>
      </c>
      <c r="E777" s="38">
        <v>1333.8739726027397</v>
      </c>
    </row>
    <row r="778" spans="2:5" x14ac:dyDescent="0.4">
      <c r="B778" s="35">
        <v>32</v>
      </c>
      <c r="C778" s="36">
        <v>41883</v>
      </c>
      <c r="D778" s="37" t="s">
        <v>15</v>
      </c>
      <c r="E778" s="38">
        <v>12670</v>
      </c>
    </row>
    <row r="779" spans="2:5" x14ac:dyDescent="0.4">
      <c r="B779" s="35">
        <v>32</v>
      </c>
      <c r="C779" s="36">
        <v>41974</v>
      </c>
      <c r="D779" s="37" t="s">
        <v>15</v>
      </c>
      <c r="E779" s="38">
        <v>6835.5</v>
      </c>
    </row>
    <row r="780" spans="2:5" x14ac:dyDescent="0.4">
      <c r="B780" s="35">
        <v>32</v>
      </c>
      <c r="C780" s="36">
        <v>42064</v>
      </c>
      <c r="D780" s="37" t="s">
        <v>15</v>
      </c>
      <c r="E780" s="38">
        <v>7647.5</v>
      </c>
    </row>
    <row r="781" spans="2:5" x14ac:dyDescent="0.4">
      <c r="B781" s="35">
        <v>32</v>
      </c>
      <c r="C781" s="36">
        <v>42156</v>
      </c>
      <c r="D781" s="37" t="s">
        <v>15</v>
      </c>
      <c r="E781" s="38">
        <v>5950</v>
      </c>
    </row>
    <row r="782" spans="2:5" x14ac:dyDescent="0.4">
      <c r="B782" s="35">
        <v>32</v>
      </c>
      <c r="C782" s="36">
        <v>42248</v>
      </c>
      <c r="D782" s="37" t="s">
        <v>15</v>
      </c>
      <c r="E782" s="38">
        <v>8925</v>
      </c>
    </row>
    <row r="783" spans="2:5" x14ac:dyDescent="0.4">
      <c r="B783" s="35">
        <v>32</v>
      </c>
      <c r="C783" s="36">
        <v>42339</v>
      </c>
      <c r="D783" s="37" t="s">
        <v>15</v>
      </c>
      <c r="E783" s="38">
        <v>23450</v>
      </c>
    </row>
    <row r="784" spans="2:5" x14ac:dyDescent="0.4">
      <c r="B784" s="35">
        <v>32</v>
      </c>
      <c r="C784" s="36">
        <v>42705</v>
      </c>
      <c r="D784" s="37" t="s">
        <v>15</v>
      </c>
      <c r="E784" s="38">
        <v>23450</v>
      </c>
    </row>
    <row r="785" spans="2:5" x14ac:dyDescent="0.4">
      <c r="B785" s="35">
        <v>32</v>
      </c>
      <c r="C785" s="36">
        <v>42979</v>
      </c>
      <c r="D785" s="37" t="s">
        <v>15</v>
      </c>
      <c r="E785" s="38">
        <v>7000</v>
      </c>
    </row>
    <row r="786" spans="2:5" x14ac:dyDescent="0.4">
      <c r="B786" s="35">
        <v>33</v>
      </c>
      <c r="C786" s="36">
        <v>42064</v>
      </c>
      <c r="D786" s="37" t="s">
        <v>1</v>
      </c>
      <c r="E786" s="38">
        <v>1710.2630136986227</v>
      </c>
    </row>
    <row r="787" spans="2:5" x14ac:dyDescent="0.4">
      <c r="B787" s="35">
        <v>33</v>
      </c>
      <c r="C787" s="36">
        <v>42156</v>
      </c>
      <c r="D787" s="37" t="s">
        <v>1</v>
      </c>
      <c r="E787" s="38">
        <v>19454.241780821925</v>
      </c>
    </row>
    <row r="788" spans="2:5" x14ac:dyDescent="0.4">
      <c r="B788" s="35">
        <v>33</v>
      </c>
      <c r="C788" s="36">
        <v>42248</v>
      </c>
      <c r="D788" s="37" t="s">
        <v>1</v>
      </c>
      <c r="E788" s="38">
        <v>19668.024657534243</v>
      </c>
    </row>
    <row r="789" spans="2:5" x14ac:dyDescent="0.4">
      <c r="B789" s="35">
        <v>33</v>
      </c>
      <c r="C789" s="36">
        <v>42339</v>
      </c>
      <c r="D789" s="37" t="s">
        <v>1</v>
      </c>
      <c r="E789" s="38">
        <v>19502.719178082196</v>
      </c>
    </row>
    <row r="790" spans="2:5" x14ac:dyDescent="0.4">
      <c r="B790" s="35">
        <v>33</v>
      </c>
      <c r="C790" s="36">
        <v>42430</v>
      </c>
      <c r="D790" s="37" t="s">
        <v>1</v>
      </c>
      <c r="E790" s="38">
        <v>19037.963704244328</v>
      </c>
    </row>
    <row r="791" spans="2:5" x14ac:dyDescent="0.4">
      <c r="B791" s="35">
        <v>33</v>
      </c>
      <c r="C791" s="36">
        <v>42522</v>
      </c>
      <c r="D791" s="37" t="s">
        <v>1</v>
      </c>
      <c r="E791" s="38">
        <v>15270.546195205479</v>
      </c>
    </row>
    <row r="792" spans="2:5" x14ac:dyDescent="0.4">
      <c r="B792" s="35">
        <v>33</v>
      </c>
      <c r="C792" s="36">
        <v>42614</v>
      </c>
      <c r="D792" s="37" t="s">
        <v>1</v>
      </c>
      <c r="E792" s="38">
        <v>15438.350914383562</v>
      </c>
    </row>
    <row r="793" spans="2:5" x14ac:dyDescent="0.4">
      <c r="B793" s="35">
        <v>33</v>
      </c>
      <c r="C793" s="36">
        <v>42705</v>
      </c>
      <c r="D793" s="37" t="s">
        <v>1</v>
      </c>
      <c r="E793" s="38">
        <v>15438.350914383562</v>
      </c>
    </row>
    <row r="794" spans="2:5" x14ac:dyDescent="0.4">
      <c r="B794" s="35">
        <v>33</v>
      </c>
      <c r="C794" s="36">
        <v>42795</v>
      </c>
      <c r="D794" s="37" t="s">
        <v>1</v>
      </c>
      <c r="E794" s="38">
        <v>15445.446804794519</v>
      </c>
    </row>
    <row r="795" spans="2:5" x14ac:dyDescent="0.4">
      <c r="B795" s="35">
        <v>33</v>
      </c>
      <c r="C795" s="36">
        <v>42887</v>
      </c>
      <c r="D795" s="37" t="s">
        <v>1</v>
      </c>
      <c r="E795" s="38">
        <v>19168.895434931503</v>
      </c>
    </row>
    <row r="796" spans="2:5" x14ac:dyDescent="0.4">
      <c r="B796" s="35">
        <v>33</v>
      </c>
      <c r="C796" s="36">
        <v>42979</v>
      </c>
      <c r="D796" s="37" t="s">
        <v>1</v>
      </c>
      <c r="E796" s="38">
        <v>19379.542695205477</v>
      </c>
    </row>
    <row r="797" spans="2:5" x14ac:dyDescent="0.4">
      <c r="B797" s="35">
        <v>33</v>
      </c>
      <c r="C797" s="36">
        <v>41883</v>
      </c>
      <c r="D797" s="37" t="s">
        <v>2</v>
      </c>
      <c r="E797" s="38">
        <v>8347.9375</v>
      </c>
    </row>
    <row r="798" spans="2:5" x14ac:dyDescent="0.4">
      <c r="B798" s="35">
        <v>33</v>
      </c>
      <c r="C798" s="36">
        <v>41974</v>
      </c>
      <c r="D798" s="37" t="s">
        <v>2</v>
      </c>
      <c r="E798" s="38">
        <v>8347.9374999999982</v>
      </c>
    </row>
    <row r="799" spans="2:5" x14ac:dyDescent="0.4">
      <c r="B799" s="35">
        <v>33</v>
      </c>
      <c r="C799" s="36">
        <v>42064</v>
      </c>
      <c r="D799" s="37" t="s">
        <v>2</v>
      </c>
      <c r="E799" s="38">
        <v>5489.6100000000006</v>
      </c>
    </row>
    <row r="800" spans="2:5" x14ac:dyDescent="0.4">
      <c r="B800" s="35">
        <v>33</v>
      </c>
      <c r="C800" s="36">
        <v>42156</v>
      </c>
      <c r="D800" s="37" t="s">
        <v>2</v>
      </c>
      <c r="E800" s="38">
        <v>10979.202499999998</v>
      </c>
    </row>
    <row r="801" spans="2:5" x14ac:dyDescent="0.4">
      <c r="B801" s="35">
        <v>33</v>
      </c>
      <c r="C801" s="36">
        <v>42248</v>
      </c>
      <c r="D801" s="37" t="s">
        <v>2</v>
      </c>
      <c r="E801" s="38">
        <v>74.672499999999999</v>
      </c>
    </row>
    <row r="802" spans="2:5" x14ac:dyDescent="0.4">
      <c r="B802" s="35">
        <v>33</v>
      </c>
      <c r="C802" s="36">
        <v>42064</v>
      </c>
      <c r="D802" s="37" t="s">
        <v>16</v>
      </c>
      <c r="E802" s="38">
        <v>184.10958904109702</v>
      </c>
    </row>
    <row r="803" spans="2:5" x14ac:dyDescent="0.4">
      <c r="B803" s="35">
        <v>33</v>
      </c>
      <c r="C803" s="36">
        <v>42156</v>
      </c>
      <c r="D803" s="37" t="s">
        <v>16</v>
      </c>
      <c r="E803" s="38">
        <v>2323.7547720637767</v>
      </c>
    </row>
    <row r="804" spans="2:5" x14ac:dyDescent="0.4">
      <c r="B804" s="35">
        <v>33</v>
      </c>
      <c r="C804" s="36">
        <v>42248</v>
      </c>
      <c r="D804" s="37" t="s">
        <v>16</v>
      </c>
      <c r="E804" s="38">
        <v>2328.4078149562088</v>
      </c>
    </row>
    <row r="805" spans="2:5" x14ac:dyDescent="0.4">
      <c r="B805" s="35">
        <v>33</v>
      </c>
      <c r="C805" s="36">
        <v>42339</v>
      </c>
      <c r="D805" s="37" t="s">
        <v>16</v>
      </c>
      <c r="E805" s="38">
        <v>1658.8097911520313</v>
      </c>
    </row>
    <row r="806" spans="2:5" x14ac:dyDescent="0.4">
      <c r="B806" s="35">
        <v>33</v>
      </c>
      <c r="C806" s="36">
        <v>42430</v>
      </c>
      <c r="D806" s="37" t="s">
        <v>16</v>
      </c>
      <c r="E806" s="38">
        <v>2107.45608073209</v>
      </c>
    </row>
    <row r="807" spans="2:5" x14ac:dyDescent="0.4">
      <c r="B807" s="35">
        <v>33</v>
      </c>
      <c r="C807" s="36">
        <v>42522</v>
      </c>
      <c r="D807" s="37" t="s">
        <v>16</v>
      </c>
      <c r="E807" s="38">
        <v>3346.1711844896154</v>
      </c>
    </row>
    <row r="808" spans="2:5" x14ac:dyDescent="0.4">
      <c r="B808" s="35">
        <v>33</v>
      </c>
      <c r="C808" s="36">
        <v>42614</v>
      </c>
      <c r="D808" s="37" t="s">
        <v>16</v>
      </c>
      <c r="E808" s="38">
        <v>2752.4143820150234</v>
      </c>
    </row>
    <row r="809" spans="2:5" x14ac:dyDescent="0.4">
      <c r="B809" s="35">
        <v>33</v>
      </c>
      <c r="C809" s="36">
        <v>42705</v>
      </c>
      <c r="D809" s="37" t="s">
        <v>16</v>
      </c>
      <c r="E809" s="38">
        <v>2752.4318820150238</v>
      </c>
    </row>
    <row r="810" spans="2:5" x14ac:dyDescent="0.4">
      <c r="B810" s="35">
        <v>33</v>
      </c>
      <c r="C810" s="36">
        <v>42795</v>
      </c>
      <c r="D810" s="37" t="s">
        <v>16</v>
      </c>
      <c r="E810" s="38">
        <v>2692.5794692885543</v>
      </c>
    </row>
    <row r="811" spans="2:5" x14ac:dyDescent="0.4">
      <c r="B811" s="35">
        <v>33</v>
      </c>
      <c r="C811" s="36">
        <v>42887</v>
      </c>
      <c r="D811" s="37" t="s">
        <v>16</v>
      </c>
      <c r="E811" s="38">
        <v>2722.5380479452056</v>
      </c>
    </row>
    <row r="812" spans="2:5" x14ac:dyDescent="0.4">
      <c r="B812" s="35">
        <v>33</v>
      </c>
      <c r="C812" s="36">
        <v>42979</v>
      </c>
      <c r="D812" s="37" t="s">
        <v>16</v>
      </c>
      <c r="E812" s="38">
        <v>2752.438356164384</v>
      </c>
    </row>
    <row r="813" spans="2:5" x14ac:dyDescent="0.4">
      <c r="B813" s="35">
        <v>33</v>
      </c>
      <c r="C813" s="36">
        <v>41883</v>
      </c>
      <c r="D813" s="37" t="s">
        <v>15</v>
      </c>
      <c r="E813" s="38">
        <v>4873.75</v>
      </c>
    </row>
    <row r="814" spans="2:5" x14ac:dyDescent="0.4">
      <c r="B814" s="35">
        <v>33</v>
      </c>
      <c r="C814" s="36">
        <v>41974</v>
      </c>
      <c r="D814" s="37" t="s">
        <v>15</v>
      </c>
      <c r="E814" s="38">
        <v>5950</v>
      </c>
    </row>
    <row r="815" spans="2:5" x14ac:dyDescent="0.4">
      <c r="B815" s="35">
        <v>33</v>
      </c>
      <c r="C815" s="36">
        <v>42064</v>
      </c>
      <c r="D815" s="37" t="s">
        <v>15</v>
      </c>
      <c r="E815" s="38">
        <v>9975</v>
      </c>
    </row>
    <row r="816" spans="2:5" x14ac:dyDescent="0.4">
      <c r="B816" s="35">
        <v>33</v>
      </c>
      <c r="C816" s="36">
        <v>42156</v>
      </c>
      <c r="D816" s="37" t="s">
        <v>15</v>
      </c>
      <c r="E816" s="38">
        <v>7000</v>
      </c>
    </row>
    <row r="817" spans="2:5" x14ac:dyDescent="0.4">
      <c r="B817" s="35">
        <v>33</v>
      </c>
      <c r="C817" s="36">
        <v>42248</v>
      </c>
      <c r="D817" s="37" t="s">
        <v>15</v>
      </c>
      <c r="E817" s="38">
        <v>14000</v>
      </c>
    </row>
    <row r="818" spans="2:5" x14ac:dyDescent="0.4">
      <c r="B818" s="35">
        <v>33</v>
      </c>
      <c r="C818" s="36">
        <v>42339</v>
      </c>
      <c r="D818" s="37" t="s">
        <v>15</v>
      </c>
      <c r="E818" s="38">
        <v>21000</v>
      </c>
    </row>
    <row r="819" spans="2:5" x14ac:dyDescent="0.4">
      <c r="B819" s="35">
        <v>33</v>
      </c>
      <c r="C819" s="36">
        <v>42430</v>
      </c>
      <c r="D819" s="37" t="s">
        <v>15</v>
      </c>
      <c r="E819" s="38">
        <v>30450</v>
      </c>
    </row>
    <row r="820" spans="2:5" x14ac:dyDescent="0.4">
      <c r="B820" s="35">
        <v>33</v>
      </c>
      <c r="C820" s="36">
        <v>42522</v>
      </c>
      <c r="D820" s="37" t="s">
        <v>15</v>
      </c>
      <c r="E820" s="38">
        <v>7000</v>
      </c>
    </row>
    <row r="821" spans="2:5" x14ac:dyDescent="0.4">
      <c r="B821" s="35">
        <v>33</v>
      </c>
      <c r="C821" s="36">
        <v>42887</v>
      </c>
      <c r="D821" s="37" t="s">
        <v>15</v>
      </c>
      <c r="E821" s="38">
        <v>7000</v>
      </c>
    </row>
    <row r="822" spans="2:5" x14ac:dyDescent="0.4">
      <c r="B822" s="35">
        <v>33</v>
      </c>
      <c r="C822" s="36">
        <v>42248</v>
      </c>
      <c r="D822" s="37" t="s">
        <v>14</v>
      </c>
      <c r="E822" s="38">
        <v>5976.25</v>
      </c>
    </row>
    <row r="823" spans="2:5" x14ac:dyDescent="0.4">
      <c r="B823" s="35">
        <v>34</v>
      </c>
      <c r="C823" s="36">
        <v>42430</v>
      </c>
      <c r="D823" s="37" t="s">
        <v>2</v>
      </c>
      <c r="E823" s="38">
        <v>72893.616250000006</v>
      </c>
    </row>
    <row r="824" spans="2:5" x14ac:dyDescent="0.4">
      <c r="B824" s="35">
        <v>34</v>
      </c>
      <c r="C824" s="36">
        <v>42522</v>
      </c>
      <c r="D824" s="37" t="s">
        <v>2</v>
      </c>
      <c r="E824" s="38">
        <v>20769.69125</v>
      </c>
    </row>
    <row r="825" spans="2:5" x14ac:dyDescent="0.4">
      <c r="B825" s="35">
        <v>34</v>
      </c>
      <c r="C825" s="36">
        <v>42614</v>
      </c>
      <c r="D825" s="37" t="s">
        <v>2</v>
      </c>
      <c r="E825" s="38">
        <v>20997.928</v>
      </c>
    </row>
    <row r="826" spans="2:5" x14ac:dyDescent="0.4">
      <c r="B826" s="35">
        <v>34</v>
      </c>
      <c r="C826" s="36">
        <v>42705</v>
      </c>
      <c r="D826" s="37" t="s">
        <v>2</v>
      </c>
      <c r="E826" s="38">
        <v>20997.928</v>
      </c>
    </row>
    <row r="827" spans="2:5" x14ac:dyDescent="0.4">
      <c r="B827" s="35">
        <v>34</v>
      </c>
      <c r="C827" s="36">
        <v>42795</v>
      </c>
      <c r="D827" s="37" t="s">
        <v>2</v>
      </c>
      <c r="E827" s="38">
        <v>20541.451000000001</v>
      </c>
    </row>
    <row r="828" spans="2:5" x14ac:dyDescent="0.4">
      <c r="B828" s="35">
        <v>34</v>
      </c>
      <c r="C828" s="36">
        <v>42887</v>
      </c>
      <c r="D828" s="37" t="s">
        <v>2</v>
      </c>
      <c r="E828" s="38">
        <v>20769.69125</v>
      </c>
    </row>
    <row r="829" spans="2:5" x14ac:dyDescent="0.4">
      <c r="B829" s="35">
        <v>34</v>
      </c>
      <c r="C829" s="36">
        <v>42979</v>
      </c>
      <c r="D829" s="37" t="s">
        <v>2</v>
      </c>
      <c r="E829" s="38">
        <v>20997.928</v>
      </c>
    </row>
    <row r="830" spans="2:5" x14ac:dyDescent="0.4">
      <c r="B830" s="35">
        <v>35</v>
      </c>
      <c r="C830" s="36">
        <v>41974</v>
      </c>
      <c r="D830" s="37" t="s">
        <v>1</v>
      </c>
      <c r="E830" s="38">
        <v>16976.902173913044</v>
      </c>
    </row>
    <row r="831" spans="2:5" x14ac:dyDescent="0.4">
      <c r="B831" s="35">
        <v>35</v>
      </c>
      <c r="C831" s="36">
        <v>42064</v>
      </c>
      <c r="D831" s="37" t="s">
        <v>1</v>
      </c>
      <c r="E831" s="38">
        <v>18557.820048309175</v>
      </c>
    </row>
    <row r="832" spans="2:5" x14ac:dyDescent="0.4">
      <c r="B832" s="35">
        <v>35</v>
      </c>
      <c r="C832" s="36">
        <v>42156</v>
      </c>
      <c r="D832" s="37" t="s">
        <v>1</v>
      </c>
      <c r="E832" s="38">
        <v>18611.912393162398</v>
      </c>
    </row>
    <row r="833" spans="2:5" x14ac:dyDescent="0.4">
      <c r="B833" s="35">
        <v>35</v>
      </c>
      <c r="C833" s="36">
        <v>42248</v>
      </c>
      <c r="D833" s="37" t="s">
        <v>1</v>
      </c>
      <c r="E833" s="38">
        <v>18611.517558528427</v>
      </c>
    </row>
    <row r="834" spans="2:5" x14ac:dyDescent="0.4">
      <c r="B834" s="35">
        <v>35</v>
      </c>
      <c r="C834" s="36">
        <v>42339</v>
      </c>
      <c r="D834" s="37" t="s">
        <v>1</v>
      </c>
      <c r="E834" s="38">
        <v>18593.75</v>
      </c>
    </row>
    <row r="835" spans="2:5" x14ac:dyDescent="0.4">
      <c r="B835" s="35">
        <v>35</v>
      </c>
      <c r="C835" s="36">
        <v>42430</v>
      </c>
      <c r="D835" s="37" t="s">
        <v>1</v>
      </c>
      <c r="E835" s="38">
        <v>18575.982441471573</v>
      </c>
    </row>
    <row r="836" spans="2:5" x14ac:dyDescent="0.4">
      <c r="B836" s="35">
        <v>35</v>
      </c>
      <c r="C836" s="36">
        <v>42522</v>
      </c>
      <c r="D836" s="37" t="s">
        <v>1</v>
      </c>
      <c r="E836" s="38">
        <v>18593.75</v>
      </c>
    </row>
    <row r="837" spans="2:5" x14ac:dyDescent="0.4">
      <c r="B837" s="35">
        <v>35</v>
      </c>
      <c r="C837" s="36">
        <v>42614</v>
      </c>
      <c r="D837" s="37" t="s">
        <v>1</v>
      </c>
      <c r="E837" s="38">
        <v>18611.517558528427</v>
      </c>
    </row>
    <row r="838" spans="2:5" x14ac:dyDescent="0.4">
      <c r="B838" s="35">
        <v>35</v>
      </c>
      <c r="C838" s="36">
        <v>42705</v>
      </c>
      <c r="D838" s="37" t="s">
        <v>1</v>
      </c>
      <c r="E838" s="38">
        <v>18763.519021739128</v>
      </c>
    </row>
    <row r="839" spans="2:5" x14ac:dyDescent="0.4">
      <c r="B839" s="35">
        <v>35</v>
      </c>
      <c r="C839" s="36">
        <v>42795</v>
      </c>
      <c r="D839" s="37" t="s">
        <v>1</v>
      </c>
      <c r="E839" s="38">
        <v>18743.398248792269</v>
      </c>
    </row>
    <row r="840" spans="2:5" x14ac:dyDescent="0.4">
      <c r="B840" s="35">
        <v>35</v>
      </c>
      <c r="C840" s="36">
        <v>42887</v>
      </c>
      <c r="D840" s="37" t="s">
        <v>1</v>
      </c>
      <c r="E840" s="38">
        <v>18798.031517094016</v>
      </c>
    </row>
    <row r="841" spans="2:5" x14ac:dyDescent="0.4">
      <c r="B841" s="35">
        <v>35</v>
      </c>
      <c r="C841" s="36">
        <v>42979</v>
      </c>
      <c r="D841" s="37" t="s">
        <v>1</v>
      </c>
      <c r="E841" s="38">
        <v>18797.632734113715</v>
      </c>
    </row>
    <row r="842" spans="2:5" x14ac:dyDescent="0.4">
      <c r="B842" s="35">
        <v>35</v>
      </c>
      <c r="C842" s="36">
        <v>41974</v>
      </c>
      <c r="D842" s="37" t="s">
        <v>16</v>
      </c>
      <c r="E842" s="38">
        <v>1933.1506849315069</v>
      </c>
    </row>
    <row r="843" spans="2:5" x14ac:dyDescent="0.4">
      <c r="B843" s="35">
        <v>35</v>
      </c>
      <c r="C843" s="36">
        <v>42064</v>
      </c>
      <c r="D843" s="37" t="s">
        <v>16</v>
      </c>
      <c r="E843" s="38">
        <v>2071.232876712329</v>
      </c>
    </row>
    <row r="844" spans="2:5" x14ac:dyDescent="0.4">
      <c r="B844" s="35">
        <v>35</v>
      </c>
      <c r="C844" s="36">
        <v>42156</v>
      </c>
      <c r="D844" s="37" t="s">
        <v>16</v>
      </c>
      <c r="E844" s="38">
        <v>2094.2465753424658</v>
      </c>
    </row>
    <row r="845" spans="2:5" x14ac:dyDescent="0.4">
      <c r="B845" s="35">
        <v>35</v>
      </c>
      <c r="C845" s="36">
        <v>42248</v>
      </c>
      <c r="D845" s="37" t="s">
        <v>16</v>
      </c>
      <c r="E845" s="38">
        <v>2117.2602739726026</v>
      </c>
    </row>
    <row r="846" spans="2:5" x14ac:dyDescent="0.4">
      <c r="B846" s="35">
        <v>35</v>
      </c>
      <c r="C846" s="36">
        <v>42339</v>
      </c>
      <c r="D846" s="37" t="s">
        <v>16</v>
      </c>
      <c r="E846" s="38">
        <v>2111.9784415001113</v>
      </c>
    </row>
    <row r="847" spans="2:5" x14ac:dyDescent="0.4">
      <c r="B847" s="35">
        <v>35</v>
      </c>
      <c r="C847" s="36">
        <v>42430</v>
      </c>
      <c r="D847" s="37" t="s">
        <v>16</v>
      </c>
      <c r="E847" s="38">
        <v>2088.5245901639346</v>
      </c>
    </row>
    <row r="848" spans="2:5" x14ac:dyDescent="0.4">
      <c r="B848" s="35">
        <v>35</v>
      </c>
      <c r="C848" s="36">
        <v>42522</v>
      </c>
      <c r="D848" s="37" t="s">
        <v>16</v>
      </c>
      <c r="E848" s="38">
        <v>2088.5245901639346</v>
      </c>
    </row>
    <row r="849" spans="2:5" x14ac:dyDescent="0.4">
      <c r="B849" s="35">
        <v>35</v>
      </c>
      <c r="C849" s="36">
        <v>42614</v>
      </c>
      <c r="D849" s="37" t="s">
        <v>16</v>
      </c>
      <c r="E849" s="38">
        <v>2111.4754098360659</v>
      </c>
    </row>
    <row r="850" spans="2:5" x14ac:dyDescent="0.4">
      <c r="B850" s="35">
        <v>35</v>
      </c>
      <c r="C850" s="36">
        <v>42705</v>
      </c>
      <c r="D850" s="37" t="s">
        <v>16</v>
      </c>
      <c r="E850" s="38">
        <v>2116.7572423085562</v>
      </c>
    </row>
    <row r="851" spans="2:5" x14ac:dyDescent="0.4">
      <c r="B851" s="35">
        <v>35</v>
      </c>
      <c r="C851" s="36">
        <v>42795</v>
      </c>
      <c r="D851" s="37" t="s">
        <v>16</v>
      </c>
      <c r="E851" s="38">
        <v>2071.232876712329</v>
      </c>
    </row>
    <row r="852" spans="2:5" x14ac:dyDescent="0.4">
      <c r="B852" s="35">
        <v>35</v>
      </c>
      <c r="C852" s="36">
        <v>42887</v>
      </c>
      <c r="D852" s="37" t="s">
        <v>16</v>
      </c>
      <c r="E852" s="38">
        <v>2094.2465753424658</v>
      </c>
    </row>
    <row r="853" spans="2:5" x14ac:dyDescent="0.4">
      <c r="B853" s="35">
        <v>35</v>
      </c>
      <c r="C853" s="36">
        <v>42979</v>
      </c>
      <c r="D853" s="37" t="s">
        <v>16</v>
      </c>
      <c r="E853" s="38">
        <v>2117.260273972604</v>
      </c>
    </row>
    <row r="854" spans="2:5" x14ac:dyDescent="0.4">
      <c r="B854" s="35">
        <v>36</v>
      </c>
      <c r="C854" s="36">
        <v>41883</v>
      </c>
      <c r="D854" s="37" t="s">
        <v>2</v>
      </c>
      <c r="E854" s="38">
        <v>11810.342465753423</v>
      </c>
    </row>
    <row r="855" spans="2:5" x14ac:dyDescent="0.4">
      <c r="B855" s="35">
        <v>36</v>
      </c>
      <c r="C855" s="36">
        <v>41974</v>
      </c>
      <c r="D855" s="37" t="s">
        <v>2</v>
      </c>
      <c r="E855" s="38">
        <v>11810.342465753423</v>
      </c>
    </row>
    <row r="856" spans="2:5" x14ac:dyDescent="0.4">
      <c r="B856" s="35">
        <v>36</v>
      </c>
      <c r="C856" s="36">
        <v>42064</v>
      </c>
      <c r="D856" s="37" t="s">
        <v>2</v>
      </c>
      <c r="E856" s="38">
        <v>11553.595890410959</v>
      </c>
    </row>
    <row r="857" spans="2:5" x14ac:dyDescent="0.4">
      <c r="B857" s="35">
        <v>36</v>
      </c>
      <c r="C857" s="36">
        <v>42156</v>
      </c>
      <c r="D857" s="37" t="s">
        <v>2</v>
      </c>
      <c r="E857" s="38">
        <v>11553.595890410958</v>
      </c>
    </row>
    <row r="858" spans="2:5" x14ac:dyDescent="0.4">
      <c r="B858" s="35">
        <v>36</v>
      </c>
      <c r="C858" s="36">
        <v>42248</v>
      </c>
      <c r="D858" s="37" t="s">
        <v>2</v>
      </c>
      <c r="E858" s="38">
        <v>12956.011995482497</v>
      </c>
    </row>
    <row r="859" spans="2:5" x14ac:dyDescent="0.4">
      <c r="B859" s="35">
        <v>36</v>
      </c>
      <c r="C859" s="36">
        <v>42339</v>
      </c>
      <c r="D859" s="37" t="s">
        <v>2</v>
      </c>
      <c r="E859" s="38">
        <v>12956.011995482502</v>
      </c>
    </row>
    <row r="860" spans="2:5" x14ac:dyDescent="0.4">
      <c r="B860" s="35">
        <v>36</v>
      </c>
      <c r="C860" s="36">
        <v>42430</v>
      </c>
      <c r="D860" s="37" t="s">
        <v>2</v>
      </c>
      <c r="E860" s="38">
        <v>12815.185635</v>
      </c>
    </row>
    <row r="861" spans="2:5" x14ac:dyDescent="0.4">
      <c r="B861" s="35">
        <v>36</v>
      </c>
      <c r="C861" s="36">
        <v>42522</v>
      </c>
      <c r="D861" s="37" t="s">
        <v>2</v>
      </c>
      <c r="E861" s="38">
        <v>12815.185267499997</v>
      </c>
    </row>
    <row r="862" spans="2:5" x14ac:dyDescent="0.4">
      <c r="B862" s="35">
        <v>36</v>
      </c>
      <c r="C862" s="36">
        <v>42614</v>
      </c>
      <c r="D862" s="37" t="s">
        <v>2</v>
      </c>
      <c r="E862" s="38">
        <v>13684.910697500003</v>
      </c>
    </row>
    <row r="863" spans="2:5" x14ac:dyDescent="0.4">
      <c r="B863" s="35">
        <v>36</v>
      </c>
      <c r="C863" s="36">
        <v>42705</v>
      </c>
      <c r="D863" s="37" t="s">
        <v>2</v>
      </c>
      <c r="E863" s="38">
        <v>13684.910697500001</v>
      </c>
    </row>
    <row r="864" spans="2:5" x14ac:dyDescent="0.4">
      <c r="B864" s="35">
        <v>36</v>
      </c>
      <c r="C864" s="36">
        <v>42795</v>
      </c>
      <c r="D864" s="37" t="s">
        <v>2</v>
      </c>
      <c r="E864" s="38">
        <v>13387.413480000003</v>
      </c>
    </row>
    <row r="865" spans="2:5" x14ac:dyDescent="0.4">
      <c r="B865" s="35">
        <v>36</v>
      </c>
      <c r="C865" s="36">
        <v>42887</v>
      </c>
      <c r="D865" s="37" t="s">
        <v>2</v>
      </c>
      <c r="E865" s="38">
        <v>13536.161065000004</v>
      </c>
    </row>
    <row r="866" spans="2:5" x14ac:dyDescent="0.4">
      <c r="B866" s="35">
        <v>36</v>
      </c>
      <c r="C866" s="36">
        <v>42979</v>
      </c>
      <c r="D866" s="37" t="s">
        <v>2</v>
      </c>
      <c r="E866" s="38">
        <v>13573.350000000004</v>
      </c>
    </row>
    <row r="867" spans="2:5" x14ac:dyDescent="0.4">
      <c r="B867" s="35">
        <v>36</v>
      </c>
      <c r="C867" s="36">
        <v>41974</v>
      </c>
      <c r="D867" s="37" t="s">
        <v>15</v>
      </c>
      <c r="E867" s="38">
        <v>2975</v>
      </c>
    </row>
    <row r="868" spans="2:5" x14ac:dyDescent="0.4">
      <c r="B868" s="35">
        <v>36</v>
      </c>
      <c r="C868" s="36">
        <v>42064</v>
      </c>
      <c r="D868" s="37" t="s">
        <v>15</v>
      </c>
      <c r="E868" s="38">
        <v>2975</v>
      </c>
    </row>
    <row r="869" spans="2:5" x14ac:dyDescent="0.4">
      <c r="B869" s="35">
        <v>36</v>
      </c>
      <c r="C869" s="36">
        <v>42156</v>
      </c>
      <c r="D869" s="37" t="s">
        <v>15</v>
      </c>
      <c r="E869" s="38">
        <v>5950</v>
      </c>
    </row>
    <row r="870" spans="2:5" x14ac:dyDescent="0.4">
      <c r="B870" s="35">
        <v>36</v>
      </c>
      <c r="C870" s="36">
        <v>42248</v>
      </c>
      <c r="D870" s="37" t="s">
        <v>15</v>
      </c>
      <c r="E870" s="38">
        <v>2975</v>
      </c>
    </row>
    <row r="871" spans="2:5" x14ac:dyDescent="0.4">
      <c r="B871" s="35">
        <v>36</v>
      </c>
      <c r="C871" s="36">
        <v>42339</v>
      </c>
      <c r="D871" s="37" t="s">
        <v>15</v>
      </c>
      <c r="E871" s="38">
        <v>5950</v>
      </c>
    </row>
    <row r="872" spans="2:5" x14ac:dyDescent="0.4">
      <c r="B872" s="35">
        <v>36</v>
      </c>
      <c r="C872" s="36">
        <v>42430</v>
      </c>
      <c r="D872" s="37" t="s">
        <v>15</v>
      </c>
      <c r="E872" s="38">
        <v>5950</v>
      </c>
    </row>
    <row r="873" spans="2:5" x14ac:dyDescent="0.4">
      <c r="B873" s="35">
        <v>36</v>
      </c>
      <c r="C873" s="36">
        <v>42522</v>
      </c>
      <c r="D873" s="37" t="s">
        <v>15</v>
      </c>
      <c r="E873" s="38">
        <v>5950</v>
      </c>
    </row>
    <row r="874" spans="2:5" x14ac:dyDescent="0.4">
      <c r="B874" s="35">
        <v>36</v>
      </c>
      <c r="C874" s="36">
        <v>42614</v>
      </c>
      <c r="D874" s="37" t="s">
        <v>15</v>
      </c>
      <c r="E874" s="38">
        <v>16275</v>
      </c>
    </row>
    <row r="875" spans="2:5" x14ac:dyDescent="0.4">
      <c r="B875" s="35">
        <v>36</v>
      </c>
      <c r="C875" s="36">
        <v>42795</v>
      </c>
      <c r="D875" s="37" t="s">
        <v>15</v>
      </c>
      <c r="E875" s="38">
        <v>8925</v>
      </c>
    </row>
    <row r="876" spans="2:5" x14ac:dyDescent="0.4">
      <c r="B876" s="35">
        <v>36</v>
      </c>
      <c r="C876" s="36">
        <v>42887</v>
      </c>
      <c r="D876" s="37" t="s">
        <v>15</v>
      </c>
      <c r="E876" s="38">
        <v>12950</v>
      </c>
    </row>
    <row r="877" spans="2:5" x14ac:dyDescent="0.4">
      <c r="B877" s="35">
        <v>36</v>
      </c>
      <c r="C877" s="36">
        <v>42979</v>
      </c>
      <c r="D877" s="37" t="s">
        <v>15</v>
      </c>
      <c r="E877" s="38">
        <v>7000</v>
      </c>
    </row>
    <row r="878" spans="2:5" x14ac:dyDescent="0.4">
      <c r="B878" s="35">
        <v>36</v>
      </c>
      <c r="C878" s="36">
        <v>42522</v>
      </c>
      <c r="D878" s="37" t="s">
        <v>14</v>
      </c>
      <c r="E878" s="38">
        <v>12505.5</v>
      </c>
    </row>
    <row r="879" spans="2:5" x14ac:dyDescent="0.4">
      <c r="B879" s="35">
        <v>37</v>
      </c>
      <c r="C879" s="36">
        <v>42248</v>
      </c>
      <c r="D879" s="37" t="s">
        <v>1</v>
      </c>
      <c r="E879" s="38">
        <v>4624.5901639344265</v>
      </c>
    </row>
    <row r="880" spans="2:5" x14ac:dyDescent="0.4">
      <c r="B880" s="35">
        <v>37</v>
      </c>
      <c r="C880" s="36">
        <v>42339</v>
      </c>
      <c r="D880" s="37" t="s">
        <v>1</v>
      </c>
      <c r="E880" s="38">
        <v>9412.6794544940658</v>
      </c>
    </row>
    <row r="881" spans="2:5" x14ac:dyDescent="0.4">
      <c r="B881" s="35">
        <v>37</v>
      </c>
      <c r="C881" s="36">
        <v>42430</v>
      </c>
      <c r="D881" s="37" t="s">
        <v>1</v>
      </c>
      <c r="E881" s="38">
        <v>10964.69468343697</v>
      </c>
    </row>
    <row r="882" spans="2:5" x14ac:dyDescent="0.4">
      <c r="B882" s="35">
        <v>37</v>
      </c>
      <c r="C882" s="36">
        <v>42522</v>
      </c>
      <c r="D882" s="37" t="s">
        <v>1</v>
      </c>
      <c r="E882" s="38">
        <v>10964.694683436972</v>
      </c>
    </row>
    <row r="883" spans="2:5" x14ac:dyDescent="0.4">
      <c r="B883" s="35">
        <v>37</v>
      </c>
      <c r="C883" s="36">
        <v>42614</v>
      </c>
      <c r="D883" s="37" t="s">
        <v>1</v>
      </c>
      <c r="E883" s="38">
        <v>11161.764494619052</v>
      </c>
    </row>
    <row r="884" spans="2:5" x14ac:dyDescent="0.4">
      <c r="B884" s="35">
        <v>37</v>
      </c>
      <c r="C884" s="36">
        <v>42705</v>
      </c>
      <c r="D884" s="37" t="s">
        <v>1</v>
      </c>
      <c r="E884" s="38">
        <v>11798.472108138092</v>
      </c>
    </row>
    <row r="885" spans="2:5" x14ac:dyDescent="0.4">
      <c r="B885" s="35">
        <v>37</v>
      </c>
      <c r="C885" s="36">
        <v>42795</v>
      </c>
      <c r="D885" s="37" t="s">
        <v>1</v>
      </c>
      <c r="E885" s="38">
        <v>11541.983584048137</v>
      </c>
    </row>
    <row r="886" spans="2:5" x14ac:dyDescent="0.4">
      <c r="B886" s="35">
        <v>37</v>
      </c>
      <c r="C886" s="36">
        <v>42887</v>
      </c>
      <c r="D886" s="37" t="s">
        <v>1</v>
      </c>
      <c r="E886" s="38">
        <v>13760.85792449654</v>
      </c>
    </row>
    <row r="887" spans="2:5" x14ac:dyDescent="0.4">
      <c r="B887" s="35">
        <v>37</v>
      </c>
      <c r="C887" s="36">
        <v>42979</v>
      </c>
      <c r="D887" s="37" t="s">
        <v>1</v>
      </c>
      <c r="E887" s="38">
        <v>14967.31300613547</v>
      </c>
    </row>
    <row r="888" spans="2:5" x14ac:dyDescent="0.4">
      <c r="B888" s="35">
        <v>37</v>
      </c>
      <c r="C888" s="36">
        <v>42248</v>
      </c>
      <c r="D888" s="37" t="s">
        <v>16</v>
      </c>
      <c r="E888" s="38">
        <v>1197.1721311475405</v>
      </c>
    </row>
    <row r="889" spans="2:5" x14ac:dyDescent="0.4">
      <c r="B889" s="35">
        <v>37</v>
      </c>
      <c r="C889" s="36">
        <v>42339</v>
      </c>
      <c r="D889" s="37" t="s">
        <v>16</v>
      </c>
      <c r="E889" s="38">
        <v>2417.3617877331835</v>
      </c>
    </row>
    <row r="890" spans="2:5" x14ac:dyDescent="0.4">
      <c r="B890" s="35">
        <v>37</v>
      </c>
      <c r="C890" s="36">
        <v>42430</v>
      </c>
      <c r="D890" s="37" t="s">
        <v>16</v>
      </c>
      <c r="E890" s="38">
        <v>2793.3899364047479</v>
      </c>
    </row>
    <row r="891" spans="2:5" x14ac:dyDescent="0.4">
      <c r="B891" s="35">
        <v>37</v>
      </c>
      <c r="C891" s="36">
        <v>42522</v>
      </c>
      <c r="D891" s="37" t="s">
        <v>16</v>
      </c>
      <c r="E891" s="38">
        <v>2793.3899364047488</v>
      </c>
    </row>
    <row r="892" spans="2:5" x14ac:dyDescent="0.4">
      <c r="B892" s="35">
        <v>37</v>
      </c>
      <c r="C892" s="36">
        <v>42614</v>
      </c>
      <c r="D892" s="37" t="s">
        <v>16</v>
      </c>
      <c r="E892" s="38">
        <v>2840.7794698426619</v>
      </c>
    </row>
    <row r="893" spans="2:5" x14ac:dyDescent="0.4">
      <c r="B893" s="35">
        <v>37</v>
      </c>
      <c r="C893" s="36">
        <v>42705</v>
      </c>
      <c r="D893" s="37" t="s">
        <v>16</v>
      </c>
      <c r="E893" s="38">
        <v>2973.4353672171728</v>
      </c>
    </row>
    <row r="894" spans="2:5" x14ac:dyDescent="0.4">
      <c r="B894" s="35">
        <v>37</v>
      </c>
      <c r="C894" s="36">
        <v>42795</v>
      </c>
      <c r="D894" s="37" t="s">
        <v>16</v>
      </c>
      <c r="E894" s="38">
        <v>2908.7954679298418</v>
      </c>
    </row>
    <row r="895" spans="2:5" x14ac:dyDescent="0.4">
      <c r="B895" s="35">
        <v>37</v>
      </c>
      <c r="C895" s="36">
        <v>42887</v>
      </c>
      <c r="D895" s="37" t="s">
        <v>16</v>
      </c>
      <c r="E895" s="38">
        <v>2941.1154175735082</v>
      </c>
    </row>
    <row r="896" spans="2:5" x14ac:dyDescent="0.4">
      <c r="B896" s="35">
        <v>37</v>
      </c>
      <c r="C896" s="36">
        <v>42979</v>
      </c>
      <c r="D896" s="37" t="s">
        <v>16</v>
      </c>
      <c r="E896" s="38">
        <v>2973.4308624589257</v>
      </c>
    </row>
    <row r="897" spans="2:5" x14ac:dyDescent="0.4">
      <c r="B897" s="35">
        <v>37</v>
      </c>
      <c r="C897" s="36">
        <v>42339</v>
      </c>
      <c r="D897" s="37" t="s">
        <v>15</v>
      </c>
      <c r="E897" s="38">
        <v>1645</v>
      </c>
    </row>
    <row r="898" spans="2:5" x14ac:dyDescent="0.4">
      <c r="B898" s="35">
        <v>37</v>
      </c>
      <c r="C898" s="36">
        <v>42705</v>
      </c>
      <c r="D898" s="37" t="s">
        <v>15</v>
      </c>
      <c r="E898" s="38">
        <v>1557.5</v>
      </c>
    </row>
    <row r="899" spans="2:5" x14ac:dyDescent="0.4">
      <c r="B899" s="35">
        <v>37</v>
      </c>
      <c r="C899" s="36">
        <v>42887</v>
      </c>
      <c r="D899" s="37" t="s">
        <v>15</v>
      </c>
      <c r="E899" s="38">
        <v>1557.5</v>
      </c>
    </row>
    <row r="900" spans="2:5" x14ac:dyDescent="0.4">
      <c r="B900" s="35">
        <v>37</v>
      </c>
      <c r="C900" s="36">
        <v>42979</v>
      </c>
      <c r="D900" s="37" t="s">
        <v>15</v>
      </c>
      <c r="E900" s="38">
        <v>1487.5</v>
      </c>
    </row>
    <row r="901" spans="2:5" x14ac:dyDescent="0.4">
      <c r="B901" s="35">
        <v>38</v>
      </c>
      <c r="C901" s="36">
        <v>42979</v>
      </c>
      <c r="D901" s="37" t="s">
        <v>2</v>
      </c>
      <c r="E901" s="38">
        <v>16316.999825000001</v>
      </c>
    </row>
    <row r="902" spans="2:5" x14ac:dyDescent="0.4">
      <c r="B902" s="35">
        <v>38</v>
      </c>
      <c r="C902" s="36">
        <v>41883</v>
      </c>
      <c r="D902" s="37" t="s">
        <v>15</v>
      </c>
      <c r="E902" s="38">
        <v>3412.5</v>
      </c>
    </row>
    <row r="903" spans="2:5" x14ac:dyDescent="0.4">
      <c r="B903" s="35">
        <v>38</v>
      </c>
      <c r="C903" s="36">
        <v>41974</v>
      </c>
      <c r="D903" s="37" t="s">
        <v>15</v>
      </c>
      <c r="E903" s="38">
        <v>1706.25</v>
      </c>
    </row>
    <row r="904" spans="2:5" x14ac:dyDescent="0.4">
      <c r="B904" s="35">
        <v>38</v>
      </c>
      <c r="C904" s="36">
        <v>42064</v>
      </c>
      <c r="D904" s="37" t="s">
        <v>15</v>
      </c>
      <c r="E904" s="38">
        <v>1706.25</v>
      </c>
    </row>
    <row r="905" spans="2:5" x14ac:dyDescent="0.4">
      <c r="B905" s="35">
        <v>38</v>
      </c>
      <c r="C905" s="36">
        <v>42156</v>
      </c>
      <c r="D905" s="37" t="s">
        <v>15</v>
      </c>
      <c r="E905" s="38">
        <v>1706.25</v>
      </c>
    </row>
    <row r="906" spans="2:5" x14ac:dyDescent="0.4">
      <c r="B906" s="35">
        <v>38</v>
      </c>
      <c r="C906" s="36">
        <v>42248</v>
      </c>
      <c r="D906" s="37" t="s">
        <v>15</v>
      </c>
      <c r="E906" s="38">
        <v>3412.5</v>
      </c>
    </row>
    <row r="907" spans="2:5" x14ac:dyDescent="0.4">
      <c r="B907" s="35">
        <v>38</v>
      </c>
      <c r="C907" s="36">
        <v>42339</v>
      </c>
      <c r="D907" s="37" t="s">
        <v>15</v>
      </c>
      <c r="E907" s="38">
        <v>1706.25</v>
      </c>
    </row>
    <row r="908" spans="2:5" x14ac:dyDescent="0.4">
      <c r="B908" s="35">
        <v>38</v>
      </c>
      <c r="C908" s="36">
        <v>42430</v>
      </c>
      <c r="D908" s="37" t="s">
        <v>15</v>
      </c>
      <c r="E908" s="38">
        <v>1706.25</v>
      </c>
    </row>
    <row r="909" spans="2:5" x14ac:dyDescent="0.4">
      <c r="B909" s="35">
        <v>38</v>
      </c>
      <c r="C909" s="36">
        <v>42522</v>
      </c>
      <c r="D909" s="37" t="s">
        <v>15</v>
      </c>
      <c r="E909" s="38">
        <v>3412.5</v>
      </c>
    </row>
    <row r="910" spans="2:5" x14ac:dyDescent="0.4">
      <c r="B910" s="35">
        <v>38</v>
      </c>
      <c r="C910" s="36">
        <v>42614</v>
      </c>
      <c r="D910" s="37" t="s">
        <v>15</v>
      </c>
      <c r="E910" s="38">
        <v>5118.75</v>
      </c>
    </row>
    <row r="911" spans="2:5" x14ac:dyDescent="0.4">
      <c r="B911" s="35">
        <v>38</v>
      </c>
      <c r="C911" s="36">
        <v>42705</v>
      </c>
      <c r="D911" s="37" t="s">
        <v>15</v>
      </c>
      <c r="E911" s="38">
        <v>1706.25</v>
      </c>
    </row>
    <row r="912" spans="2:5" x14ac:dyDescent="0.4">
      <c r="B912" s="35">
        <v>38</v>
      </c>
      <c r="C912" s="36">
        <v>42795</v>
      </c>
      <c r="D912" s="37" t="s">
        <v>15</v>
      </c>
      <c r="E912" s="38">
        <v>3412.5</v>
      </c>
    </row>
    <row r="913" spans="2:5" x14ac:dyDescent="0.4">
      <c r="B913" s="35">
        <v>38</v>
      </c>
      <c r="C913" s="36">
        <v>42887</v>
      </c>
      <c r="D913" s="37" t="s">
        <v>15</v>
      </c>
      <c r="E913" s="38">
        <v>1706.25</v>
      </c>
    </row>
    <row r="914" spans="2:5" x14ac:dyDescent="0.4">
      <c r="B914" s="35">
        <v>38</v>
      </c>
      <c r="C914" s="36">
        <v>42979</v>
      </c>
      <c r="D914" s="37" t="s">
        <v>15</v>
      </c>
      <c r="E914" s="38">
        <v>1706.25</v>
      </c>
    </row>
    <row r="915" spans="2:5" x14ac:dyDescent="0.4">
      <c r="B915" s="35">
        <v>39</v>
      </c>
      <c r="C915" s="36">
        <v>41883</v>
      </c>
      <c r="D915" s="37" t="s">
        <v>2</v>
      </c>
      <c r="E915" s="38">
        <v>9112.5285616438341</v>
      </c>
    </row>
    <row r="916" spans="2:5" x14ac:dyDescent="0.4">
      <c r="B916" s="35">
        <v>39</v>
      </c>
      <c r="C916" s="36">
        <v>41974</v>
      </c>
      <c r="D916" s="37" t="s">
        <v>2</v>
      </c>
      <c r="E916" s="38">
        <v>9014.5443835616461</v>
      </c>
    </row>
    <row r="917" spans="2:5" x14ac:dyDescent="0.4">
      <c r="B917" s="35">
        <v>39</v>
      </c>
      <c r="C917" s="36">
        <v>42064</v>
      </c>
      <c r="D917" s="37" t="s">
        <v>2</v>
      </c>
      <c r="E917" s="38">
        <v>8818.576027397261</v>
      </c>
    </row>
    <row r="918" spans="2:5" x14ac:dyDescent="0.4">
      <c r="B918" s="35">
        <v>39</v>
      </c>
      <c r="C918" s="36">
        <v>42156</v>
      </c>
      <c r="D918" s="37" t="s">
        <v>2</v>
      </c>
      <c r="E918" s="38">
        <v>8916.5602054794508</v>
      </c>
    </row>
    <row r="919" spans="2:5" x14ac:dyDescent="0.4">
      <c r="B919" s="35">
        <v>39</v>
      </c>
      <c r="C919" s="36">
        <v>42248</v>
      </c>
      <c r="D919" s="37" t="s">
        <v>2</v>
      </c>
      <c r="E919" s="38">
        <v>5765.2713871375008</v>
      </c>
    </row>
    <row r="920" spans="2:5" x14ac:dyDescent="0.4">
      <c r="B920" s="35">
        <v>39</v>
      </c>
      <c r="C920" s="36">
        <v>42339</v>
      </c>
      <c r="D920" s="37" t="s">
        <v>2</v>
      </c>
      <c r="E920" s="38">
        <v>8989.9140668225009</v>
      </c>
    </row>
    <row r="921" spans="2:5" x14ac:dyDescent="0.4">
      <c r="B921" s="35">
        <v>39</v>
      </c>
      <c r="C921" s="36">
        <v>42430</v>
      </c>
      <c r="D921" s="37" t="s">
        <v>2</v>
      </c>
      <c r="E921" s="38">
        <v>8892.1977200000001</v>
      </c>
    </row>
    <row r="922" spans="2:5" x14ac:dyDescent="0.4">
      <c r="B922" s="35">
        <v>39</v>
      </c>
      <c r="C922" s="36">
        <v>42522</v>
      </c>
      <c r="D922" s="37" t="s">
        <v>2</v>
      </c>
      <c r="E922" s="38">
        <v>8892.19751</v>
      </c>
    </row>
    <row r="923" spans="2:5" x14ac:dyDescent="0.4">
      <c r="B923" s="35">
        <v>39</v>
      </c>
      <c r="C923" s="36">
        <v>42614</v>
      </c>
      <c r="D923" s="37" t="s">
        <v>2</v>
      </c>
      <c r="E923" s="38">
        <v>8958.5866142500017</v>
      </c>
    </row>
    <row r="924" spans="2:5" x14ac:dyDescent="0.4">
      <c r="B924" s="35">
        <v>39</v>
      </c>
      <c r="C924" s="36">
        <v>42705</v>
      </c>
      <c r="D924" s="37" t="s">
        <v>2</v>
      </c>
      <c r="E924" s="38">
        <v>8941.0648145000014</v>
      </c>
    </row>
    <row r="925" spans="2:5" x14ac:dyDescent="0.4">
      <c r="B925" s="35">
        <v>39</v>
      </c>
      <c r="C925" s="36">
        <v>42795</v>
      </c>
      <c r="D925" s="37" t="s">
        <v>2</v>
      </c>
      <c r="E925" s="38">
        <v>8933.4211294999986</v>
      </c>
    </row>
    <row r="926" spans="2:5" x14ac:dyDescent="0.4">
      <c r="B926" s="35">
        <v>39</v>
      </c>
      <c r="C926" s="36">
        <v>42887</v>
      </c>
      <c r="D926" s="37" t="s">
        <v>2</v>
      </c>
      <c r="E926" s="38">
        <v>8948.6750202499989</v>
      </c>
    </row>
    <row r="927" spans="2:5" x14ac:dyDescent="0.4">
      <c r="B927" s="35">
        <v>39</v>
      </c>
      <c r="C927" s="36">
        <v>42979</v>
      </c>
      <c r="D927" s="37" t="s">
        <v>2</v>
      </c>
      <c r="E927" s="38">
        <v>8941.0066917500008</v>
      </c>
    </row>
    <row r="928" spans="2:5" x14ac:dyDescent="0.4">
      <c r="B928" s="35">
        <v>39</v>
      </c>
      <c r="C928" s="36">
        <v>42156</v>
      </c>
      <c r="D928" s="37" t="s">
        <v>16</v>
      </c>
      <c r="E928" s="38">
        <v>1326.0983606557377</v>
      </c>
    </row>
    <row r="929" spans="2:5" x14ac:dyDescent="0.4">
      <c r="B929" s="35">
        <v>39</v>
      </c>
      <c r="C929" s="36">
        <v>42248</v>
      </c>
      <c r="D929" s="37" t="s">
        <v>16</v>
      </c>
      <c r="E929" s="38">
        <v>2541.688524590164</v>
      </c>
    </row>
    <row r="930" spans="2:5" x14ac:dyDescent="0.4">
      <c r="B930" s="35">
        <v>39</v>
      </c>
      <c r="C930" s="36">
        <v>42339</v>
      </c>
      <c r="D930" s="37" t="s">
        <v>16</v>
      </c>
      <c r="E930" s="38">
        <v>2541.688524590164</v>
      </c>
    </row>
    <row r="931" spans="2:5" x14ac:dyDescent="0.4">
      <c r="B931" s="35">
        <v>39</v>
      </c>
      <c r="C931" s="36">
        <v>42430</v>
      </c>
      <c r="D931" s="37" t="s">
        <v>16</v>
      </c>
      <c r="E931" s="38">
        <v>2652.1967213114758</v>
      </c>
    </row>
    <row r="932" spans="2:5" x14ac:dyDescent="0.4">
      <c r="B932" s="35">
        <v>39</v>
      </c>
      <c r="C932" s="36">
        <v>42522</v>
      </c>
      <c r="D932" s="37" t="s">
        <v>16</v>
      </c>
      <c r="E932" s="38">
        <v>3217.0542387154719</v>
      </c>
    </row>
    <row r="933" spans="2:5" x14ac:dyDescent="0.4">
      <c r="B933" s="35">
        <v>39</v>
      </c>
      <c r="C933" s="36">
        <v>42614</v>
      </c>
      <c r="D933" s="37" t="s">
        <v>16</v>
      </c>
      <c r="E933" s="38">
        <v>3256.6109589041098</v>
      </c>
    </row>
    <row r="934" spans="2:5" x14ac:dyDescent="0.4">
      <c r="B934" s="35">
        <v>39</v>
      </c>
      <c r="C934" s="36">
        <v>42705</v>
      </c>
      <c r="D934" s="37" t="s">
        <v>16</v>
      </c>
      <c r="E934" s="38">
        <v>3256.6109589041093</v>
      </c>
    </row>
    <row r="935" spans="2:5" x14ac:dyDescent="0.4">
      <c r="B935" s="35">
        <v>39</v>
      </c>
      <c r="C935" s="36">
        <v>42795</v>
      </c>
      <c r="D935" s="37" t="s">
        <v>16</v>
      </c>
      <c r="E935" s="38">
        <v>3185.8150684931497</v>
      </c>
    </row>
    <row r="936" spans="2:5" x14ac:dyDescent="0.4">
      <c r="B936" s="35">
        <v>39</v>
      </c>
      <c r="C936" s="36">
        <v>42887</v>
      </c>
      <c r="D936" s="37" t="s">
        <v>16</v>
      </c>
      <c r="E936" s="38">
        <v>3221.2130136986298</v>
      </c>
    </row>
    <row r="937" spans="2:5" x14ac:dyDescent="0.4">
      <c r="B937" s="35">
        <v>39</v>
      </c>
      <c r="C937" s="36">
        <v>42979</v>
      </c>
      <c r="D937" s="37" t="s">
        <v>16</v>
      </c>
      <c r="E937" s="38">
        <v>3256.6109589041098</v>
      </c>
    </row>
    <row r="938" spans="2:5" x14ac:dyDescent="0.4">
      <c r="B938" s="35">
        <v>39</v>
      </c>
      <c r="C938" s="36">
        <v>42339</v>
      </c>
      <c r="D938" s="37" t="s">
        <v>15</v>
      </c>
      <c r="E938" s="38">
        <v>7000</v>
      </c>
    </row>
    <row r="939" spans="2:5" x14ac:dyDescent="0.4">
      <c r="B939" s="35">
        <v>39</v>
      </c>
      <c r="C939" s="36">
        <v>42522</v>
      </c>
      <c r="D939" s="37" t="s">
        <v>15</v>
      </c>
      <c r="E939" s="38">
        <v>7000</v>
      </c>
    </row>
    <row r="940" spans="2:5" x14ac:dyDescent="0.4">
      <c r="B940" s="35">
        <v>39</v>
      </c>
      <c r="C940" s="36">
        <v>42795</v>
      </c>
      <c r="D940" s="37" t="s">
        <v>15</v>
      </c>
      <c r="E940" s="38">
        <v>2975</v>
      </c>
    </row>
    <row r="941" spans="2:5" x14ac:dyDescent="0.4">
      <c r="B941" s="35">
        <v>39</v>
      </c>
      <c r="C941" s="36">
        <v>42887</v>
      </c>
      <c r="D941" s="37" t="s">
        <v>15</v>
      </c>
      <c r="E941" s="38">
        <v>2975</v>
      </c>
    </row>
    <row r="942" spans="2:5" x14ac:dyDescent="0.4">
      <c r="B942" s="35">
        <v>39</v>
      </c>
      <c r="C942" s="36">
        <v>42979</v>
      </c>
      <c r="D942" s="37" t="s">
        <v>15</v>
      </c>
      <c r="E942" s="38">
        <v>5775</v>
      </c>
    </row>
    <row r="943" spans="2:5" x14ac:dyDescent="0.4">
      <c r="B943" s="35">
        <v>40</v>
      </c>
      <c r="C943" s="36">
        <v>41883</v>
      </c>
      <c r="D943" s="37" t="s">
        <v>2</v>
      </c>
      <c r="E943" s="38">
        <v>7397.2131780821946</v>
      </c>
    </row>
    <row r="944" spans="2:5" x14ac:dyDescent="0.4">
      <c r="B944" s="35">
        <v>40</v>
      </c>
      <c r="C944" s="36">
        <v>41974</v>
      </c>
      <c r="D944" s="37" t="s">
        <v>2</v>
      </c>
      <c r="E944" s="38">
        <v>7289.2154520547956</v>
      </c>
    </row>
    <row r="945" spans="2:5" x14ac:dyDescent="0.4">
      <c r="B945" s="35">
        <v>40</v>
      </c>
      <c r="C945" s="36">
        <v>42064</v>
      </c>
      <c r="D945" s="37" t="s">
        <v>2</v>
      </c>
      <c r="E945" s="38">
        <v>7130.7542465753431</v>
      </c>
    </row>
    <row r="946" spans="2:5" x14ac:dyDescent="0.4">
      <c r="B946" s="35">
        <v>40</v>
      </c>
      <c r="C946" s="36">
        <v>42156</v>
      </c>
      <c r="D946" s="37" t="s">
        <v>2</v>
      </c>
      <c r="E946" s="38">
        <v>7209.9848493150703</v>
      </c>
    </row>
    <row r="947" spans="2:5" x14ac:dyDescent="0.4">
      <c r="B947" s="35">
        <v>40</v>
      </c>
      <c r="C947" s="36">
        <v>42248</v>
      </c>
      <c r="D947" s="37" t="s">
        <v>2</v>
      </c>
      <c r="E947" s="38">
        <v>7712.5372290784999</v>
      </c>
    </row>
    <row r="948" spans="2:5" x14ac:dyDescent="0.4">
      <c r="B948" s="35">
        <v>40</v>
      </c>
      <c r="C948" s="36">
        <v>42339</v>
      </c>
      <c r="D948" s="37" t="s">
        <v>2</v>
      </c>
      <c r="E948" s="38">
        <v>8359.6963035582503</v>
      </c>
    </row>
    <row r="949" spans="2:5" x14ac:dyDescent="0.4">
      <c r="B949" s="35">
        <v>40</v>
      </c>
      <c r="C949" s="36">
        <v>42430</v>
      </c>
      <c r="D949" s="37" t="s">
        <v>2</v>
      </c>
      <c r="E949" s="38">
        <v>8268.8303460000006</v>
      </c>
    </row>
    <row r="950" spans="2:5" x14ac:dyDescent="0.4">
      <c r="B950" s="35">
        <v>40</v>
      </c>
      <c r="C950" s="36">
        <v>42522</v>
      </c>
      <c r="D950" s="37" t="s">
        <v>2</v>
      </c>
      <c r="E950" s="38">
        <v>8268.8299084999999</v>
      </c>
    </row>
    <row r="951" spans="2:5" x14ac:dyDescent="0.4">
      <c r="B951" s="35">
        <v>40</v>
      </c>
      <c r="C951" s="36">
        <v>42614</v>
      </c>
      <c r="D951" s="37" t="s">
        <v>2</v>
      </c>
      <c r="E951" s="38">
        <v>8008.2181322499991</v>
      </c>
    </row>
    <row r="952" spans="2:5" x14ac:dyDescent="0.4">
      <c r="B952" s="35">
        <v>40</v>
      </c>
      <c r="C952" s="36">
        <v>42705</v>
      </c>
      <c r="D952" s="37" t="s">
        <v>2</v>
      </c>
      <c r="E952" s="38">
        <v>7712.9970049999974</v>
      </c>
    </row>
    <row r="953" spans="2:5" x14ac:dyDescent="0.4">
      <c r="B953" s="35">
        <v>40</v>
      </c>
      <c r="C953" s="36">
        <v>42795</v>
      </c>
      <c r="D953" s="37" t="s">
        <v>2</v>
      </c>
      <c r="E953" s="38">
        <v>7545.3373869999996</v>
      </c>
    </row>
    <row r="954" spans="2:5" x14ac:dyDescent="0.4">
      <c r="B954" s="35">
        <v>40</v>
      </c>
      <c r="C954" s="36">
        <v>42887</v>
      </c>
      <c r="D954" s="37" t="s">
        <v>2</v>
      </c>
      <c r="E954" s="38">
        <v>7629.1498990000036</v>
      </c>
    </row>
    <row r="955" spans="2:5" x14ac:dyDescent="0.4">
      <c r="B955" s="35">
        <v>40</v>
      </c>
      <c r="C955" s="36">
        <v>42979</v>
      </c>
      <c r="D955" s="37" t="s">
        <v>2</v>
      </c>
      <c r="E955" s="38">
        <v>7713.0027065000022</v>
      </c>
    </row>
    <row r="956" spans="2:5" x14ac:dyDescent="0.4">
      <c r="B956" s="35">
        <v>40</v>
      </c>
      <c r="C956" s="36">
        <v>42339</v>
      </c>
      <c r="D956" s="37" t="s">
        <v>16</v>
      </c>
      <c r="E956" s="38">
        <v>3167.1844262295072</v>
      </c>
    </row>
    <row r="957" spans="2:5" x14ac:dyDescent="0.4">
      <c r="B957" s="35">
        <v>40</v>
      </c>
      <c r="C957" s="36">
        <v>42430</v>
      </c>
      <c r="D957" s="37" t="s">
        <v>16</v>
      </c>
      <c r="E957" s="38">
        <v>2718.9979508196725</v>
      </c>
    </row>
    <row r="958" spans="2:5" x14ac:dyDescent="0.4">
      <c r="B958" s="35">
        <v>40</v>
      </c>
      <c r="C958" s="36">
        <v>42522</v>
      </c>
      <c r="D958" s="37" t="s">
        <v>16</v>
      </c>
      <c r="E958" s="38">
        <v>2718.9979508196725</v>
      </c>
    </row>
    <row r="959" spans="2:5" x14ac:dyDescent="0.4">
      <c r="B959" s="35">
        <v>40</v>
      </c>
      <c r="C959" s="36">
        <v>42614</v>
      </c>
      <c r="D959" s="37" t="s">
        <v>16</v>
      </c>
      <c r="E959" s="38">
        <v>2675.3148776106009</v>
      </c>
    </row>
    <row r="960" spans="2:5" x14ac:dyDescent="0.4">
      <c r="B960" s="35">
        <v>40</v>
      </c>
      <c r="C960" s="36">
        <v>42705</v>
      </c>
      <c r="D960" s="37" t="s">
        <v>16</v>
      </c>
      <c r="E960" s="38">
        <v>2428.6068493150678</v>
      </c>
    </row>
    <row r="961" spans="2:5" x14ac:dyDescent="0.4">
      <c r="B961" s="35">
        <v>40</v>
      </c>
      <c r="C961" s="36">
        <v>42795</v>
      </c>
      <c r="D961" s="37" t="s">
        <v>16</v>
      </c>
      <c r="E961" s="38">
        <v>2354.732876712329</v>
      </c>
    </row>
    <row r="962" spans="2:5" x14ac:dyDescent="0.4">
      <c r="B962" s="35">
        <v>40</v>
      </c>
      <c r="C962" s="36">
        <v>42887</v>
      </c>
      <c r="D962" s="37" t="s">
        <v>16</v>
      </c>
      <c r="E962" s="38">
        <v>2767.8479819920822</v>
      </c>
    </row>
    <row r="963" spans="2:5" x14ac:dyDescent="0.4">
      <c r="B963" s="35">
        <v>40</v>
      </c>
      <c r="C963" s="36">
        <v>42979</v>
      </c>
      <c r="D963" s="37" t="s">
        <v>16</v>
      </c>
      <c r="E963" s="38">
        <v>3110.9042440353155</v>
      </c>
    </row>
    <row r="964" spans="2:5" x14ac:dyDescent="0.4">
      <c r="B964" s="35">
        <v>40</v>
      </c>
      <c r="C964" s="36">
        <v>41883</v>
      </c>
      <c r="D964" s="37" t="s">
        <v>15</v>
      </c>
      <c r="E964" s="38">
        <v>3167.5</v>
      </c>
    </row>
    <row r="965" spans="2:5" x14ac:dyDescent="0.4">
      <c r="B965" s="35">
        <v>40</v>
      </c>
      <c r="C965" s="36">
        <v>41974</v>
      </c>
      <c r="D965" s="37" t="s">
        <v>15</v>
      </c>
      <c r="E965" s="38">
        <v>7350</v>
      </c>
    </row>
    <row r="966" spans="2:5" x14ac:dyDescent="0.4">
      <c r="B966" s="35">
        <v>40</v>
      </c>
      <c r="C966" s="36">
        <v>42156</v>
      </c>
      <c r="D966" s="37" t="s">
        <v>15</v>
      </c>
      <c r="E966" s="38">
        <v>1557.5</v>
      </c>
    </row>
    <row r="967" spans="2:5" x14ac:dyDescent="0.4">
      <c r="B967" s="35">
        <v>40</v>
      </c>
      <c r="C967" s="36">
        <v>42248</v>
      </c>
      <c r="D967" s="37" t="s">
        <v>15</v>
      </c>
      <c r="E967" s="38">
        <v>1557.5</v>
      </c>
    </row>
    <row r="968" spans="2:5" x14ac:dyDescent="0.4">
      <c r="B968" s="35">
        <v>40</v>
      </c>
      <c r="C968" s="36">
        <v>42339</v>
      </c>
      <c r="D968" s="37" t="s">
        <v>15</v>
      </c>
      <c r="E968" s="38">
        <v>7000</v>
      </c>
    </row>
    <row r="969" spans="2:5" x14ac:dyDescent="0.4">
      <c r="B969" s="35">
        <v>40</v>
      </c>
      <c r="C969" s="36">
        <v>42522</v>
      </c>
      <c r="D969" s="37" t="s">
        <v>15</v>
      </c>
      <c r="E969" s="38">
        <v>7000</v>
      </c>
    </row>
    <row r="970" spans="2:5" x14ac:dyDescent="0.4">
      <c r="B970" s="35">
        <v>40</v>
      </c>
      <c r="C970" s="36">
        <v>42705</v>
      </c>
      <c r="D970" s="37" t="s">
        <v>15</v>
      </c>
      <c r="E970" s="38">
        <v>7000</v>
      </c>
    </row>
    <row r="971" spans="2:5" x14ac:dyDescent="0.4">
      <c r="B971" s="35">
        <v>40</v>
      </c>
      <c r="C971" s="36">
        <v>42979</v>
      </c>
      <c r="D971" s="37" t="s">
        <v>15</v>
      </c>
      <c r="E971" s="38">
        <v>7000</v>
      </c>
    </row>
    <row r="972" spans="2:5" x14ac:dyDescent="0.4">
      <c r="B972" s="35">
        <v>41</v>
      </c>
      <c r="C972" s="36">
        <v>41974</v>
      </c>
      <c r="D972" s="37" t="s">
        <v>2</v>
      </c>
      <c r="E972" s="38">
        <v>56982.012499999997</v>
      </c>
    </row>
    <row r="973" spans="2:5" x14ac:dyDescent="0.4">
      <c r="B973" s="35">
        <v>41</v>
      </c>
      <c r="C973" s="36">
        <v>42064</v>
      </c>
      <c r="D973" s="37" t="s">
        <v>2</v>
      </c>
      <c r="E973" s="38">
        <v>25789.574999999997</v>
      </c>
    </row>
    <row r="974" spans="2:5" x14ac:dyDescent="0.4">
      <c r="B974" s="35">
        <v>41</v>
      </c>
      <c r="C974" s="36">
        <v>42156</v>
      </c>
      <c r="D974" s="37" t="s">
        <v>2</v>
      </c>
      <c r="E974" s="38">
        <v>31192.437500000007</v>
      </c>
    </row>
    <row r="975" spans="2:5" x14ac:dyDescent="0.4">
      <c r="B975" s="35">
        <v>41</v>
      </c>
      <c r="C975" s="36">
        <v>42248</v>
      </c>
      <c r="D975" s="37" t="s">
        <v>2</v>
      </c>
      <c r="E975" s="38">
        <v>25789.576566372496</v>
      </c>
    </row>
    <row r="976" spans="2:5" x14ac:dyDescent="0.4">
      <c r="B976" s="35">
        <v>41</v>
      </c>
      <c r="C976" s="36">
        <v>42339</v>
      </c>
      <c r="D976" s="37" t="s">
        <v>2</v>
      </c>
      <c r="E976" s="38">
        <v>25789.576566372503</v>
      </c>
    </row>
    <row r="977" spans="2:5" x14ac:dyDescent="0.4">
      <c r="B977" s="35">
        <v>41</v>
      </c>
      <c r="C977" s="36">
        <v>42430</v>
      </c>
      <c r="D977" s="37" t="s">
        <v>2</v>
      </c>
      <c r="E977" s="38">
        <v>25789.575192500004</v>
      </c>
    </row>
    <row r="978" spans="2:5" x14ac:dyDescent="0.4">
      <c r="B978" s="35">
        <v>41</v>
      </c>
      <c r="C978" s="36">
        <v>42522</v>
      </c>
      <c r="D978" s="37" t="s">
        <v>2</v>
      </c>
      <c r="E978" s="38">
        <v>25622.998554999998</v>
      </c>
    </row>
    <row r="979" spans="2:5" x14ac:dyDescent="0.4">
      <c r="B979" s="35">
        <v>41</v>
      </c>
      <c r="C979" s="36">
        <v>42614</v>
      </c>
      <c r="D979" s="37" t="s">
        <v>2</v>
      </c>
      <c r="E979" s="38">
        <v>26281.948997500007</v>
      </c>
    </row>
    <row r="980" spans="2:5" x14ac:dyDescent="0.4">
      <c r="B980" s="35">
        <v>41</v>
      </c>
      <c r="C980" s="36">
        <v>42705</v>
      </c>
      <c r="D980" s="37" t="s">
        <v>2</v>
      </c>
      <c r="E980" s="38">
        <v>16299.675350000001</v>
      </c>
    </row>
    <row r="981" spans="2:5" x14ac:dyDescent="0.4">
      <c r="B981" s="35">
        <v>41</v>
      </c>
      <c r="C981" s="36">
        <v>42795</v>
      </c>
      <c r="D981" s="37" t="s">
        <v>2</v>
      </c>
      <c r="E981" s="38">
        <v>16299.676644999998</v>
      </c>
    </row>
    <row r="982" spans="2:5" x14ac:dyDescent="0.4">
      <c r="B982" s="35">
        <v>41</v>
      </c>
      <c r="C982" s="36">
        <v>42887</v>
      </c>
      <c r="D982" s="37" t="s">
        <v>2</v>
      </c>
      <c r="E982" s="38">
        <v>16208.986429999995</v>
      </c>
    </row>
    <row r="983" spans="2:5" x14ac:dyDescent="0.4">
      <c r="B983" s="35">
        <v>41</v>
      </c>
      <c r="C983" s="36">
        <v>42979</v>
      </c>
      <c r="D983" s="37" t="s">
        <v>2</v>
      </c>
      <c r="E983" s="38">
        <v>16329.137247499999</v>
      </c>
    </row>
    <row r="984" spans="2:5" x14ac:dyDescent="0.4">
      <c r="B984" s="35">
        <v>41</v>
      </c>
      <c r="C984" s="36">
        <v>41883</v>
      </c>
      <c r="D984" s="37" t="s">
        <v>15</v>
      </c>
      <c r="E984" s="38">
        <v>2476.25</v>
      </c>
    </row>
    <row r="985" spans="2:5" x14ac:dyDescent="0.4">
      <c r="B985" s="35">
        <v>41</v>
      </c>
      <c r="C985" s="36">
        <v>41974</v>
      </c>
      <c r="D985" s="37" t="s">
        <v>15</v>
      </c>
      <c r="E985" s="38">
        <v>1706.25</v>
      </c>
    </row>
    <row r="986" spans="2:5" x14ac:dyDescent="0.4">
      <c r="B986" s="35">
        <v>41</v>
      </c>
      <c r="C986" s="36">
        <v>42064</v>
      </c>
      <c r="D986" s="37" t="s">
        <v>15</v>
      </c>
      <c r="E986" s="38">
        <v>1706.25</v>
      </c>
    </row>
    <row r="987" spans="2:5" x14ac:dyDescent="0.4">
      <c r="B987" s="35">
        <v>41</v>
      </c>
      <c r="C987" s="36">
        <v>42156</v>
      </c>
      <c r="D987" s="37" t="s">
        <v>15</v>
      </c>
      <c r="E987" s="38">
        <v>1557.5</v>
      </c>
    </row>
    <row r="988" spans="2:5" x14ac:dyDescent="0.4">
      <c r="B988" s="35">
        <v>41</v>
      </c>
      <c r="C988" s="36">
        <v>42248</v>
      </c>
      <c r="D988" s="37" t="s">
        <v>15</v>
      </c>
      <c r="E988" s="38">
        <v>4532.5</v>
      </c>
    </row>
    <row r="989" spans="2:5" x14ac:dyDescent="0.4">
      <c r="B989" s="35">
        <v>41</v>
      </c>
      <c r="C989" s="36">
        <v>42430</v>
      </c>
      <c r="D989" s="37" t="s">
        <v>15</v>
      </c>
      <c r="E989" s="38">
        <v>2975</v>
      </c>
    </row>
    <row r="990" spans="2:5" x14ac:dyDescent="0.4">
      <c r="B990" s="35">
        <v>41</v>
      </c>
      <c r="C990" s="36">
        <v>42522</v>
      </c>
      <c r="D990" s="37" t="s">
        <v>15</v>
      </c>
      <c r="E990" s="38">
        <v>658</v>
      </c>
    </row>
    <row r="991" spans="2:5" x14ac:dyDescent="0.4">
      <c r="B991" s="35">
        <v>41</v>
      </c>
      <c r="C991" s="36">
        <v>42614</v>
      </c>
      <c r="D991" s="37" t="s">
        <v>15</v>
      </c>
      <c r="E991" s="38">
        <v>658</v>
      </c>
    </row>
    <row r="992" spans="2:5" x14ac:dyDescent="0.4">
      <c r="B992" s="35">
        <v>41</v>
      </c>
      <c r="C992" s="36">
        <v>42705</v>
      </c>
      <c r="D992" s="37" t="s">
        <v>15</v>
      </c>
      <c r="E992" s="38">
        <v>2215.5</v>
      </c>
    </row>
    <row r="993" spans="2:5" x14ac:dyDescent="0.4">
      <c r="B993" s="35">
        <v>41</v>
      </c>
      <c r="C993" s="36">
        <v>42887</v>
      </c>
      <c r="D993" s="37" t="s">
        <v>15</v>
      </c>
      <c r="E993" s="38">
        <v>658</v>
      </c>
    </row>
    <row r="994" spans="2:5" x14ac:dyDescent="0.4">
      <c r="B994" s="35">
        <v>41</v>
      </c>
      <c r="C994" s="36">
        <v>42979</v>
      </c>
      <c r="D994" s="37" t="s">
        <v>15</v>
      </c>
      <c r="E994" s="38">
        <v>658</v>
      </c>
    </row>
    <row r="995" spans="2:5" x14ac:dyDescent="0.4">
      <c r="B995" s="35">
        <v>41</v>
      </c>
      <c r="C995" s="36">
        <v>42522</v>
      </c>
      <c r="D995" s="37" t="s">
        <v>14</v>
      </c>
      <c r="E995" s="38">
        <v>4865</v>
      </c>
    </row>
    <row r="996" spans="2:5" x14ac:dyDescent="0.4">
      <c r="B996" s="35">
        <v>42</v>
      </c>
      <c r="C996" s="36">
        <v>42887</v>
      </c>
      <c r="D996" s="37" t="s">
        <v>1</v>
      </c>
      <c r="E996" s="38">
        <v>3684.0218048780371</v>
      </c>
    </row>
    <row r="997" spans="2:5" x14ac:dyDescent="0.4">
      <c r="B997" s="35">
        <v>42</v>
      </c>
      <c r="C997" s="36">
        <v>42979</v>
      </c>
      <c r="D997" s="37" t="s">
        <v>1</v>
      </c>
      <c r="E997" s="38">
        <v>7339.3019820071986</v>
      </c>
    </row>
    <row r="998" spans="2:5" x14ac:dyDescent="0.4">
      <c r="B998" s="35">
        <v>42</v>
      </c>
      <c r="C998" s="36">
        <v>42887</v>
      </c>
      <c r="D998" s="37" t="s">
        <v>16</v>
      </c>
      <c r="E998" s="38">
        <v>2991.780821917806</v>
      </c>
    </row>
    <row r="999" spans="2:5" x14ac:dyDescent="0.4">
      <c r="B999" s="35">
        <v>42</v>
      </c>
      <c r="C999" s="36">
        <v>42979</v>
      </c>
      <c r="D999" s="37" t="s">
        <v>16</v>
      </c>
      <c r="E999" s="38">
        <v>6717.212238644559</v>
      </c>
    </row>
    <row r="1000" spans="2:5" x14ac:dyDescent="0.4">
      <c r="B1000" s="35">
        <v>42</v>
      </c>
      <c r="C1000" s="36">
        <v>42887</v>
      </c>
      <c r="D1000" s="37" t="s">
        <v>15</v>
      </c>
      <c r="E1000" s="38">
        <v>1981.875</v>
      </c>
    </row>
    <row r="1001" spans="2:5" x14ac:dyDescent="0.4">
      <c r="B1001" s="35">
        <v>42</v>
      </c>
      <c r="C1001" s="36">
        <v>42979</v>
      </c>
      <c r="D1001" s="37" t="s">
        <v>15</v>
      </c>
      <c r="E1001" s="38">
        <v>2800</v>
      </c>
    </row>
    <row r="1002" spans="2:5" x14ac:dyDescent="0.4">
      <c r="B1002" s="35">
        <v>43</v>
      </c>
      <c r="C1002" s="36">
        <v>42522</v>
      </c>
      <c r="D1002" s="37" t="s">
        <v>1</v>
      </c>
      <c r="E1002" s="38">
        <v>3883.5616438356183</v>
      </c>
    </row>
    <row r="1003" spans="2:5" x14ac:dyDescent="0.4">
      <c r="B1003" s="35">
        <v>43</v>
      </c>
      <c r="C1003" s="36">
        <v>42614</v>
      </c>
      <c r="D1003" s="37" t="s">
        <v>1</v>
      </c>
      <c r="E1003" s="38">
        <v>9428.4146867934542</v>
      </c>
    </row>
    <row r="1004" spans="2:5" x14ac:dyDescent="0.4">
      <c r="B1004" s="35">
        <v>43</v>
      </c>
      <c r="C1004" s="36">
        <v>42705</v>
      </c>
      <c r="D1004" s="37" t="s">
        <v>1</v>
      </c>
      <c r="E1004" s="38">
        <v>9863.2226098745068</v>
      </c>
    </row>
    <row r="1005" spans="2:5" x14ac:dyDescent="0.4">
      <c r="B1005" s="35">
        <v>43</v>
      </c>
      <c r="C1005" s="36">
        <v>42795</v>
      </c>
      <c r="D1005" s="37" t="s">
        <v>1</v>
      </c>
      <c r="E1005" s="38">
        <v>9875.2369874402884</v>
      </c>
    </row>
    <row r="1006" spans="2:5" x14ac:dyDescent="0.4">
      <c r="B1006" s="35">
        <v>43</v>
      </c>
      <c r="C1006" s="36">
        <v>42887</v>
      </c>
      <c r="D1006" s="37" t="s">
        <v>1</v>
      </c>
      <c r="E1006" s="38">
        <v>15792.212222741062</v>
      </c>
    </row>
    <row r="1007" spans="2:5" x14ac:dyDescent="0.4">
      <c r="B1007" s="35">
        <v>43</v>
      </c>
      <c r="C1007" s="36">
        <v>42979</v>
      </c>
      <c r="D1007" s="37" t="s">
        <v>1</v>
      </c>
      <c r="E1007" s="38">
        <v>11120.027397260279</v>
      </c>
    </row>
    <row r="1008" spans="2:5" x14ac:dyDescent="0.4">
      <c r="B1008" s="35">
        <v>43</v>
      </c>
      <c r="C1008" s="36">
        <v>41883</v>
      </c>
      <c r="D1008" s="37" t="s">
        <v>2</v>
      </c>
      <c r="E1008" s="38">
        <v>1512.5178082191785</v>
      </c>
    </row>
    <row r="1009" spans="2:5" x14ac:dyDescent="0.4">
      <c r="B1009" s="35">
        <v>43</v>
      </c>
      <c r="C1009" s="36">
        <v>41974</v>
      </c>
      <c r="D1009" s="37" t="s">
        <v>2</v>
      </c>
      <c r="E1009" s="38">
        <v>986.42465753424653</v>
      </c>
    </row>
    <row r="1010" spans="2:5" x14ac:dyDescent="0.4">
      <c r="B1010" s="35">
        <v>43</v>
      </c>
      <c r="C1010" s="36">
        <v>42064</v>
      </c>
      <c r="D1010" s="37" t="s">
        <v>2</v>
      </c>
      <c r="E1010" s="38">
        <v>2005.7301369863012</v>
      </c>
    </row>
    <row r="1011" spans="2:5" x14ac:dyDescent="0.4">
      <c r="B1011" s="35">
        <v>43</v>
      </c>
      <c r="C1011" s="36">
        <v>42156</v>
      </c>
      <c r="D1011" s="37" t="s">
        <v>2</v>
      </c>
      <c r="E1011" s="38">
        <v>1496.0773972602742</v>
      </c>
    </row>
    <row r="1012" spans="2:5" x14ac:dyDescent="0.4">
      <c r="B1012" s="35">
        <v>43</v>
      </c>
      <c r="C1012" s="36">
        <v>42248</v>
      </c>
      <c r="D1012" s="37" t="s">
        <v>2</v>
      </c>
      <c r="E1012" s="38">
        <v>1512.5177269894998</v>
      </c>
    </row>
    <row r="1013" spans="2:5" x14ac:dyDescent="0.4">
      <c r="B1013" s="35">
        <v>43</v>
      </c>
      <c r="C1013" s="36">
        <v>42339</v>
      </c>
      <c r="D1013" s="37" t="s">
        <v>2</v>
      </c>
      <c r="E1013" s="38">
        <v>1599.6889597395002</v>
      </c>
    </row>
    <row r="1014" spans="2:5" x14ac:dyDescent="0.4">
      <c r="B1014" s="35">
        <v>43</v>
      </c>
      <c r="C1014" s="36">
        <v>42430</v>
      </c>
      <c r="D1014" s="37" t="s">
        <v>2</v>
      </c>
      <c r="E1014" s="38">
        <v>1186.9629362500004</v>
      </c>
    </row>
    <row r="1015" spans="2:5" x14ac:dyDescent="0.4">
      <c r="B1015" s="35">
        <v>43</v>
      </c>
      <c r="C1015" s="36">
        <v>42522</v>
      </c>
      <c r="D1015" s="37" t="s">
        <v>2</v>
      </c>
      <c r="E1015" s="38">
        <v>-5.4425000001856461E-4</v>
      </c>
    </row>
    <row r="1016" spans="2:5" x14ac:dyDescent="0.4">
      <c r="B1016" s="35">
        <v>43</v>
      </c>
      <c r="C1016" s="36">
        <v>42614</v>
      </c>
      <c r="D1016" s="37" t="s">
        <v>2</v>
      </c>
      <c r="E1016" s="38">
        <v>5.4425000001856461E-4</v>
      </c>
    </row>
    <row r="1017" spans="2:5" x14ac:dyDescent="0.4">
      <c r="B1017" s="35">
        <v>43</v>
      </c>
      <c r="C1017" s="36">
        <v>42522</v>
      </c>
      <c r="D1017" s="37" t="s">
        <v>16</v>
      </c>
      <c r="E1017" s="38">
        <v>483.28767123287651</v>
      </c>
    </row>
    <row r="1018" spans="2:5" x14ac:dyDescent="0.4">
      <c r="B1018" s="35">
        <v>43</v>
      </c>
      <c r="C1018" s="36">
        <v>42614</v>
      </c>
      <c r="D1018" s="37" t="s">
        <v>16</v>
      </c>
      <c r="E1018" s="38">
        <v>889.24931506849316</v>
      </c>
    </row>
    <row r="1019" spans="2:5" x14ac:dyDescent="0.4">
      <c r="B1019" s="35">
        <v>43</v>
      </c>
      <c r="C1019" s="36">
        <v>42705</v>
      </c>
      <c r="D1019" s="37" t="s">
        <v>16</v>
      </c>
      <c r="E1019" s="38">
        <v>889.24931506849327</v>
      </c>
    </row>
    <row r="1020" spans="2:5" x14ac:dyDescent="0.4">
      <c r="B1020" s="35">
        <v>43</v>
      </c>
      <c r="C1020" s="36">
        <v>42795</v>
      </c>
      <c r="D1020" s="37" t="s">
        <v>16</v>
      </c>
      <c r="E1020" s="38">
        <v>869.91780821917826</v>
      </c>
    </row>
    <row r="1021" spans="2:5" x14ac:dyDescent="0.4">
      <c r="B1021" s="35">
        <v>43</v>
      </c>
      <c r="C1021" s="36">
        <v>42887</v>
      </c>
      <c r="D1021" s="37" t="s">
        <v>16</v>
      </c>
      <c r="E1021" s="38">
        <v>879.58356164383531</v>
      </c>
    </row>
    <row r="1022" spans="2:5" x14ac:dyDescent="0.4">
      <c r="B1022" s="35">
        <v>43</v>
      </c>
      <c r="C1022" s="36">
        <v>42979</v>
      </c>
      <c r="D1022" s="37" t="s">
        <v>16</v>
      </c>
      <c r="E1022" s="38">
        <v>920.02617457262545</v>
      </c>
    </row>
    <row r="1023" spans="2:5" x14ac:dyDescent="0.4">
      <c r="B1023" s="35">
        <v>43</v>
      </c>
      <c r="C1023" s="36">
        <v>41883</v>
      </c>
      <c r="D1023" s="37" t="s">
        <v>15</v>
      </c>
      <c r="E1023" s="38">
        <v>735</v>
      </c>
    </row>
    <row r="1024" spans="2:5" x14ac:dyDescent="0.4">
      <c r="B1024" s="35">
        <v>43</v>
      </c>
      <c r="C1024" s="36">
        <v>42156</v>
      </c>
      <c r="D1024" s="37" t="s">
        <v>15</v>
      </c>
      <c r="E1024" s="38">
        <v>658</v>
      </c>
    </row>
    <row r="1025" spans="2:5" x14ac:dyDescent="0.4">
      <c r="B1025" s="35">
        <v>43</v>
      </c>
      <c r="C1025" s="36">
        <v>42339</v>
      </c>
      <c r="D1025" s="37" t="s">
        <v>15</v>
      </c>
      <c r="E1025" s="38">
        <v>1316</v>
      </c>
    </row>
    <row r="1026" spans="2:5" x14ac:dyDescent="0.4">
      <c r="B1026" s="35">
        <v>43</v>
      </c>
      <c r="C1026" s="36">
        <v>42430</v>
      </c>
      <c r="D1026" s="37" t="s">
        <v>15</v>
      </c>
      <c r="E1026" s="38">
        <v>2215.5</v>
      </c>
    </row>
    <row r="1027" spans="2:5" x14ac:dyDescent="0.4">
      <c r="B1027" s="35">
        <v>43</v>
      </c>
      <c r="C1027" s="36">
        <v>42522</v>
      </c>
      <c r="D1027" s="37" t="s">
        <v>15</v>
      </c>
      <c r="E1027" s="38">
        <v>1557.5</v>
      </c>
    </row>
    <row r="1028" spans="2:5" x14ac:dyDescent="0.4">
      <c r="B1028" s="35">
        <v>43</v>
      </c>
      <c r="C1028" s="36">
        <v>42614</v>
      </c>
      <c r="D1028" s="37" t="s">
        <v>15</v>
      </c>
      <c r="E1028" s="38">
        <v>3115</v>
      </c>
    </row>
    <row r="1029" spans="2:5" x14ac:dyDescent="0.4">
      <c r="B1029" s="35">
        <v>43</v>
      </c>
      <c r="C1029" s="36">
        <v>42705</v>
      </c>
      <c r="D1029" s="37" t="s">
        <v>15</v>
      </c>
      <c r="E1029" s="38">
        <v>1557.5</v>
      </c>
    </row>
    <row r="1030" spans="2:5" x14ac:dyDescent="0.4">
      <c r="B1030" s="35">
        <v>43</v>
      </c>
      <c r="C1030" s="36">
        <v>42795</v>
      </c>
      <c r="D1030" s="37" t="s">
        <v>15</v>
      </c>
      <c r="E1030" s="38">
        <v>3115</v>
      </c>
    </row>
    <row r="1031" spans="2:5" x14ac:dyDescent="0.4">
      <c r="B1031" s="35">
        <v>43</v>
      </c>
      <c r="C1031" s="36">
        <v>42887</v>
      </c>
      <c r="D1031" s="37" t="s">
        <v>15</v>
      </c>
      <c r="E1031" s="38">
        <v>6230</v>
      </c>
    </row>
    <row r="1032" spans="2:5" x14ac:dyDescent="0.4">
      <c r="B1032" s="35">
        <v>43</v>
      </c>
      <c r="C1032" s="36">
        <v>42979</v>
      </c>
      <c r="D1032" s="37" t="s">
        <v>15</v>
      </c>
      <c r="E1032" s="38">
        <v>4602.5</v>
      </c>
    </row>
    <row r="1033" spans="2:5" x14ac:dyDescent="0.4">
      <c r="B1033" s="35">
        <v>44</v>
      </c>
      <c r="C1033" s="36">
        <v>41883</v>
      </c>
      <c r="D1033" s="37" t="s">
        <v>1</v>
      </c>
      <c r="E1033" s="38">
        <v>12545.819397993313</v>
      </c>
    </row>
    <row r="1034" spans="2:5" x14ac:dyDescent="0.4">
      <c r="B1034" s="35">
        <v>44</v>
      </c>
      <c r="C1034" s="36">
        <v>41974</v>
      </c>
      <c r="D1034" s="37" t="s">
        <v>1</v>
      </c>
      <c r="E1034" s="38">
        <v>12599.99695652174</v>
      </c>
    </row>
    <row r="1035" spans="2:5" x14ac:dyDescent="0.4">
      <c r="B1035" s="35">
        <v>44</v>
      </c>
      <c r="C1035" s="36">
        <v>42064</v>
      </c>
      <c r="D1035" s="37" t="s">
        <v>1</v>
      </c>
      <c r="E1035" s="38">
        <v>12483.048363458765</v>
      </c>
    </row>
    <row r="1036" spans="2:5" x14ac:dyDescent="0.4">
      <c r="B1036" s="35">
        <v>44</v>
      </c>
      <c r="C1036" s="36">
        <v>42156</v>
      </c>
      <c r="D1036" s="37" t="s">
        <v>1</v>
      </c>
      <c r="E1036" s="38">
        <v>12716.95163654128</v>
      </c>
    </row>
    <row r="1037" spans="2:5" x14ac:dyDescent="0.4">
      <c r="B1037" s="35">
        <v>44</v>
      </c>
      <c r="C1037" s="36">
        <v>42248</v>
      </c>
      <c r="D1037" s="37" t="s">
        <v>1</v>
      </c>
      <c r="E1037" s="38">
        <v>12600</v>
      </c>
    </row>
    <row r="1038" spans="2:5" x14ac:dyDescent="0.4">
      <c r="B1038" s="35">
        <v>44</v>
      </c>
      <c r="C1038" s="36">
        <v>42339</v>
      </c>
      <c r="D1038" s="37" t="s">
        <v>1</v>
      </c>
      <c r="E1038" s="38">
        <v>12600</v>
      </c>
    </row>
    <row r="1039" spans="2:5" x14ac:dyDescent="0.4">
      <c r="B1039" s="35">
        <v>44</v>
      </c>
      <c r="C1039" s="36">
        <v>42430</v>
      </c>
      <c r="D1039" s="37" t="s">
        <v>1</v>
      </c>
      <c r="E1039" s="38">
        <v>12569.565217391302</v>
      </c>
    </row>
    <row r="1040" spans="2:5" x14ac:dyDescent="0.4">
      <c r="B1040" s="35">
        <v>44</v>
      </c>
      <c r="C1040" s="36">
        <v>42522</v>
      </c>
      <c r="D1040" s="37" t="s">
        <v>1</v>
      </c>
      <c r="E1040" s="38">
        <v>12630.434782608696</v>
      </c>
    </row>
    <row r="1041" spans="2:5" x14ac:dyDescent="0.4">
      <c r="B1041" s="35">
        <v>44</v>
      </c>
      <c r="C1041" s="36">
        <v>42614</v>
      </c>
      <c r="D1041" s="37" t="s">
        <v>1</v>
      </c>
      <c r="E1041" s="38">
        <v>12599.999999999998</v>
      </c>
    </row>
    <row r="1042" spans="2:5" x14ac:dyDescent="0.4">
      <c r="B1042" s="35">
        <v>44</v>
      </c>
      <c r="C1042" s="36">
        <v>42705</v>
      </c>
      <c r="D1042" s="37" t="s">
        <v>1</v>
      </c>
      <c r="E1042" s="38">
        <v>12600</v>
      </c>
    </row>
    <row r="1043" spans="2:5" x14ac:dyDescent="0.4">
      <c r="B1043" s="35">
        <v>44</v>
      </c>
      <c r="C1043" s="36">
        <v>42795</v>
      </c>
      <c r="D1043" s="37" t="s">
        <v>1</v>
      </c>
      <c r="E1043" s="38">
        <v>12483.04836345872</v>
      </c>
    </row>
    <row r="1044" spans="2:5" x14ac:dyDescent="0.4">
      <c r="B1044" s="35">
        <v>44</v>
      </c>
      <c r="C1044" s="36">
        <v>42887</v>
      </c>
      <c r="D1044" s="37" t="s">
        <v>1</v>
      </c>
      <c r="E1044" s="38">
        <v>12716.95163654128</v>
      </c>
    </row>
    <row r="1045" spans="2:5" x14ac:dyDescent="0.4">
      <c r="B1045" s="35">
        <v>44</v>
      </c>
      <c r="C1045" s="36">
        <v>42979</v>
      </c>
      <c r="D1045" s="37" t="s">
        <v>1</v>
      </c>
      <c r="E1045" s="38">
        <v>12600</v>
      </c>
    </row>
    <row r="1046" spans="2:5" x14ac:dyDescent="0.4">
      <c r="B1046" s="35">
        <v>44</v>
      </c>
      <c r="C1046" s="36">
        <v>42614</v>
      </c>
      <c r="D1046" s="37" t="s">
        <v>2</v>
      </c>
      <c r="E1046" s="38">
        <v>915.63552499999992</v>
      </c>
    </row>
    <row r="1047" spans="2:5" x14ac:dyDescent="0.4">
      <c r="B1047" s="35">
        <v>44</v>
      </c>
      <c r="C1047" s="36">
        <v>42705</v>
      </c>
      <c r="D1047" s="37" t="s">
        <v>2</v>
      </c>
      <c r="E1047" s="38">
        <v>915.63552500000014</v>
      </c>
    </row>
    <row r="1048" spans="2:5" x14ac:dyDescent="0.4">
      <c r="B1048" s="35">
        <v>44</v>
      </c>
      <c r="C1048" s="36">
        <v>42795</v>
      </c>
      <c r="D1048" s="37" t="s">
        <v>2</v>
      </c>
      <c r="E1048" s="38">
        <v>895.73041249999994</v>
      </c>
    </row>
    <row r="1049" spans="2:5" x14ac:dyDescent="0.4">
      <c r="B1049" s="35">
        <v>44</v>
      </c>
      <c r="C1049" s="36">
        <v>42887</v>
      </c>
      <c r="D1049" s="37" t="s">
        <v>2</v>
      </c>
      <c r="E1049" s="38">
        <v>905.68297750000011</v>
      </c>
    </row>
    <row r="1050" spans="2:5" x14ac:dyDescent="0.4">
      <c r="B1050" s="35">
        <v>44</v>
      </c>
      <c r="C1050" s="36">
        <v>42248</v>
      </c>
      <c r="D1050" s="37" t="s">
        <v>16</v>
      </c>
      <c r="E1050" s="38">
        <v>293.77049180327873</v>
      </c>
    </row>
    <row r="1051" spans="2:5" x14ac:dyDescent="0.4">
      <c r="B1051" s="35">
        <v>44</v>
      </c>
      <c r="C1051" s="36">
        <v>42339</v>
      </c>
      <c r="D1051" s="37" t="s">
        <v>16</v>
      </c>
      <c r="E1051" s="38">
        <v>211.14754098360658</v>
      </c>
    </row>
    <row r="1052" spans="2:5" x14ac:dyDescent="0.4">
      <c r="B1052" s="35">
        <v>44</v>
      </c>
      <c r="C1052" s="36">
        <v>42430</v>
      </c>
      <c r="D1052" s="37" t="s">
        <v>16</v>
      </c>
      <c r="E1052" s="38">
        <v>208.8524590163934</v>
      </c>
    </row>
    <row r="1053" spans="2:5" x14ac:dyDescent="0.4">
      <c r="B1053" s="35">
        <v>44</v>
      </c>
      <c r="C1053" s="36">
        <v>42522</v>
      </c>
      <c r="D1053" s="37" t="s">
        <v>16</v>
      </c>
      <c r="E1053" s="38">
        <v>209.07882326521457</v>
      </c>
    </row>
    <row r="1054" spans="2:5" x14ac:dyDescent="0.4">
      <c r="B1054" s="35">
        <v>44</v>
      </c>
      <c r="C1054" s="36">
        <v>42614</v>
      </c>
      <c r="D1054" s="37" t="s">
        <v>16</v>
      </c>
      <c r="E1054" s="38">
        <v>211.72602739726022</v>
      </c>
    </row>
    <row r="1055" spans="2:5" x14ac:dyDescent="0.4">
      <c r="B1055" s="35">
        <v>44</v>
      </c>
      <c r="C1055" s="36">
        <v>42705</v>
      </c>
      <c r="D1055" s="37" t="s">
        <v>16</v>
      </c>
      <c r="E1055" s="38">
        <v>1099.4794520547948</v>
      </c>
    </row>
    <row r="1056" spans="2:5" x14ac:dyDescent="0.4">
      <c r="B1056" s="35">
        <v>44</v>
      </c>
      <c r="C1056" s="36">
        <v>42795</v>
      </c>
      <c r="D1056" s="37" t="s">
        <v>16</v>
      </c>
      <c r="E1056" s="38">
        <v>2077.7054794520545</v>
      </c>
    </row>
    <row r="1057" spans="2:5" x14ac:dyDescent="0.4">
      <c r="B1057" s="35">
        <v>44</v>
      </c>
      <c r="C1057" s="36">
        <v>42887</v>
      </c>
      <c r="D1057" s="37" t="s">
        <v>16</v>
      </c>
      <c r="E1057" s="38">
        <v>2100.7910958904104</v>
      </c>
    </row>
    <row r="1058" spans="2:5" x14ac:dyDescent="0.4">
      <c r="B1058" s="35">
        <v>44</v>
      </c>
      <c r="C1058" s="36">
        <v>42979</v>
      </c>
      <c r="D1058" s="37" t="s">
        <v>16</v>
      </c>
      <c r="E1058" s="38">
        <v>2123.8767123287676</v>
      </c>
    </row>
    <row r="1059" spans="2:5" x14ac:dyDescent="0.4">
      <c r="B1059" s="35">
        <v>44</v>
      </c>
      <c r="C1059" s="36">
        <v>41883</v>
      </c>
      <c r="D1059" s="37" t="s">
        <v>15</v>
      </c>
      <c r="E1059" s="38">
        <v>735</v>
      </c>
    </row>
    <row r="1060" spans="2:5" x14ac:dyDescent="0.4">
      <c r="B1060" s="35">
        <v>44</v>
      </c>
      <c r="C1060" s="36">
        <v>41974</v>
      </c>
      <c r="D1060" s="37" t="s">
        <v>15</v>
      </c>
      <c r="E1060" s="38">
        <v>1470</v>
      </c>
    </row>
    <row r="1061" spans="2:5" x14ac:dyDescent="0.4">
      <c r="B1061" s="35">
        <v>44</v>
      </c>
      <c r="C1061" s="36">
        <v>42064</v>
      </c>
      <c r="D1061" s="37" t="s">
        <v>15</v>
      </c>
      <c r="E1061" s="38">
        <v>3412.5</v>
      </c>
    </row>
    <row r="1062" spans="2:5" x14ac:dyDescent="0.4">
      <c r="B1062" s="35">
        <v>44</v>
      </c>
      <c r="C1062" s="36">
        <v>42248</v>
      </c>
      <c r="D1062" s="37" t="s">
        <v>15</v>
      </c>
      <c r="E1062" s="38">
        <v>735</v>
      </c>
    </row>
    <row r="1063" spans="2:5" x14ac:dyDescent="0.4">
      <c r="B1063" s="35">
        <v>44</v>
      </c>
      <c r="C1063" s="36">
        <v>42339</v>
      </c>
      <c r="D1063" s="37" t="s">
        <v>15</v>
      </c>
      <c r="E1063" s="38">
        <v>1470</v>
      </c>
    </row>
    <row r="1064" spans="2:5" x14ac:dyDescent="0.4">
      <c r="B1064" s="35">
        <v>44</v>
      </c>
      <c r="C1064" s="36">
        <v>42430</v>
      </c>
      <c r="D1064" s="37" t="s">
        <v>15</v>
      </c>
      <c r="E1064" s="38">
        <v>735</v>
      </c>
    </row>
    <row r="1065" spans="2:5" x14ac:dyDescent="0.4">
      <c r="B1065" s="35">
        <v>44</v>
      </c>
      <c r="C1065" s="36">
        <v>42522</v>
      </c>
      <c r="D1065" s="37" t="s">
        <v>15</v>
      </c>
      <c r="E1065" s="38">
        <v>735</v>
      </c>
    </row>
    <row r="1066" spans="2:5" x14ac:dyDescent="0.4">
      <c r="B1066" s="35">
        <v>44</v>
      </c>
      <c r="C1066" s="36">
        <v>42614</v>
      </c>
      <c r="D1066" s="37" t="s">
        <v>15</v>
      </c>
      <c r="E1066" s="38">
        <v>1470</v>
      </c>
    </row>
    <row r="1067" spans="2:5" x14ac:dyDescent="0.4">
      <c r="B1067" s="35">
        <v>44</v>
      </c>
      <c r="C1067" s="36">
        <v>42795</v>
      </c>
      <c r="D1067" s="37" t="s">
        <v>15</v>
      </c>
      <c r="E1067" s="38">
        <v>735</v>
      </c>
    </row>
    <row r="1068" spans="2:5" x14ac:dyDescent="0.4">
      <c r="B1068" s="35">
        <v>44</v>
      </c>
      <c r="C1068" s="36">
        <v>42887</v>
      </c>
      <c r="D1068" s="37" t="s">
        <v>15</v>
      </c>
      <c r="E1068" s="38">
        <v>1470</v>
      </c>
    </row>
    <row r="1069" spans="2:5" x14ac:dyDescent="0.4">
      <c r="B1069" s="35">
        <v>44</v>
      </c>
      <c r="C1069" s="36">
        <v>42979</v>
      </c>
      <c r="D1069" s="37" t="s">
        <v>15</v>
      </c>
      <c r="E1069" s="38">
        <v>1470</v>
      </c>
    </row>
    <row r="1070" spans="2:5" x14ac:dyDescent="0.4">
      <c r="B1070" s="35">
        <v>45</v>
      </c>
      <c r="C1070" s="36">
        <v>42064</v>
      </c>
      <c r="D1070" s="37" t="s">
        <v>1</v>
      </c>
      <c r="E1070" s="38">
        <v>22323.287671232887</v>
      </c>
    </row>
    <row r="1071" spans="2:5" x14ac:dyDescent="0.4">
      <c r="B1071" s="35">
        <v>45</v>
      </c>
      <c r="C1071" s="36">
        <v>42156</v>
      </c>
      <c r="D1071" s="37" t="s">
        <v>1</v>
      </c>
      <c r="E1071" s="38">
        <v>31740.92465753424</v>
      </c>
    </row>
    <row r="1072" spans="2:5" x14ac:dyDescent="0.4">
      <c r="B1072" s="35">
        <v>45</v>
      </c>
      <c r="C1072" s="36">
        <v>42248</v>
      </c>
      <c r="D1072" s="37" t="s">
        <v>1</v>
      </c>
      <c r="E1072" s="38">
        <v>32089.726027397261</v>
      </c>
    </row>
    <row r="1073" spans="2:5" x14ac:dyDescent="0.4">
      <c r="B1073" s="35">
        <v>45</v>
      </c>
      <c r="C1073" s="36">
        <v>42339</v>
      </c>
      <c r="D1073" s="37" t="s">
        <v>1</v>
      </c>
      <c r="E1073" s="38">
        <v>32438.527397260266</v>
      </c>
    </row>
    <row r="1074" spans="2:5" x14ac:dyDescent="0.4">
      <c r="B1074" s="35">
        <v>45</v>
      </c>
      <c r="C1074" s="36">
        <v>42430</v>
      </c>
      <c r="D1074" s="37" t="s">
        <v>1</v>
      </c>
      <c r="E1074" s="38">
        <v>31678.026049854023</v>
      </c>
    </row>
    <row r="1075" spans="2:5" x14ac:dyDescent="0.4">
      <c r="B1075" s="35">
        <v>45</v>
      </c>
      <c r="C1075" s="36">
        <v>42522</v>
      </c>
      <c r="D1075" s="37" t="s">
        <v>1</v>
      </c>
      <c r="E1075" s="38">
        <v>31654.20081967214</v>
      </c>
    </row>
    <row r="1076" spans="2:5" x14ac:dyDescent="0.4">
      <c r="B1076" s="35">
        <v>45</v>
      </c>
      <c r="C1076" s="36">
        <v>42614</v>
      </c>
      <c r="D1076" s="37" t="s">
        <v>1</v>
      </c>
      <c r="E1076" s="38">
        <v>32002.049180327867</v>
      </c>
    </row>
    <row r="1077" spans="2:5" x14ac:dyDescent="0.4">
      <c r="B1077" s="35">
        <v>45</v>
      </c>
      <c r="C1077" s="36">
        <v>42705</v>
      </c>
      <c r="D1077" s="37" t="s">
        <v>1</v>
      </c>
      <c r="E1077" s="38">
        <v>32002.049180327871</v>
      </c>
    </row>
    <row r="1078" spans="2:5" x14ac:dyDescent="0.4">
      <c r="B1078" s="35">
        <v>45</v>
      </c>
      <c r="C1078" s="36">
        <v>42795</v>
      </c>
      <c r="D1078" s="37" t="s">
        <v>1</v>
      </c>
      <c r="E1078" s="38">
        <v>19597.51038625645</v>
      </c>
    </row>
    <row r="1079" spans="2:5" x14ac:dyDescent="0.4">
      <c r="B1079" s="35">
        <v>45</v>
      </c>
      <c r="C1079" s="36">
        <v>42887</v>
      </c>
      <c r="D1079" s="37" t="s">
        <v>1</v>
      </c>
      <c r="E1079" s="38">
        <v>15261.821917808225</v>
      </c>
    </row>
    <row r="1080" spans="2:5" x14ac:dyDescent="0.4">
      <c r="B1080" s="35">
        <v>45</v>
      </c>
      <c r="C1080" s="36">
        <v>42979</v>
      </c>
      <c r="D1080" s="37" t="s">
        <v>1</v>
      </c>
      <c r="E1080" s="38">
        <v>15429.534246575338</v>
      </c>
    </row>
    <row r="1081" spans="2:5" x14ac:dyDescent="0.4">
      <c r="B1081" s="35">
        <v>45</v>
      </c>
      <c r="C1081" s="36">
        <v>42064</v>
      </c>
      <c r="D1081" s="37" t="s">
        <v>16</v>
      </c>
      <c r="E1081" s="38">
        <v>4814.8927054794985</v>
      </c>
    </row>
    <row r="1082" spans="2:5" x14ac:dyDescent="0.4">
      <c r="B1082" s="35">
        <v>45</v>
      </c>
      <c r="C1082" s="36">
        <v>42156</v>
      </c>
      <c r="D1082" s="37" t="s">
        <v>16</v>
      </c>
      <c r="E1082" s="38">
        <v>6740.8561643835637</v>
      </c>
    </row>
    <row r="1083" spans="2:5" x14ac:dyDescent="0.4">
      <c r="B1083" s="35">
        <v>45</v>
      </c>
      <c r="C1083" s="36">
        <v>42248</v>
      </c>
      <c r="D1083" s="37" t="s">
        <v>16</v>
      </c>
      <c r="E1083" s="38">
        <v>6814.9315068493133</v>
      </c>
    </row>
    <row r="1084" spans="2:5" x14ac:dyDescent="0.4">
      <c r="B1084" s="35">
        <v>45</v>
      </c>
      <c r="C1084" s="36">
        <v>42339</v>
      </c>
      <c r="D1084" s="37" t="s">
        <v>16</v>
      </c>
      <c r="E1084" s="38">
        <v>6814.9315068493161</v>
      </c>
    </row>
    <row r="1085" spans="2:5" x14ac:dyDescent="0.4">
      <c r="B1085" s="35">
        <v>45</v>
      </c>
      <c r="C1085" s="36">
        <v>42430</v>
      </c>
      <c r="D1085" s="37" t="s">
        <v>16</v>
      </c>
      <c r="E1085" s="38">
        <v>4384.3630698405577</v>
      </c>
    </row>
    <row r="1086" spans="2:5" x14ac:dyDescent="0.4">
      <c r="B1086" s="35">
        <v>45</v>
      </c>
      <c r="C1086" s="36">
        <v>42522</v>
      </c>
      <c r="D1086" s="37" t="s">
        <v>16</v>
      </c>
      <c r="E1086" s="38">
        <v>3491.7520491803275</v>
      </c>
    </row>
    <row r="1087" spans="2:5" x14ac:dyDescent="0.4">
      <c r="B1087" s="35">
        <v>45</v>
      </c>
      <c r="C1087" s="36">
        <v>42614</v>
      </c>
      <c r="D1087" s="37" t="s">
        <v>16</v>
      </c>
      <c r="E1087" s="38">
        <v>3530.1229508196725</v>
      </c>
    </row>
    <row r="1088" spans="2:5" x14ac:dyDescent="0.4">
      <c r="B1088" s="35">
        <v>45</v>
      </c>
      <c r="C1088" s="36">
        <v>42705</v>
      </c>
      <c r="D1088" s="37" t="s">
        <v>16</v>
      </c>
      <c r="E1088" s="38">
        <v>3530.1229508196716</v>
      </c>
    </row>
    <row r="1089" spans="2:5" x14ac:dyDescent="0.4">
      <c r="B1089" s="35">
        <v>45</v>
      </c>
      <c r="C1089" s="36">
        <v>42795</v>
      </c>
      <c r="D1089" s="37" t="s">
        <v>16</v>
      </c>
      <c r="E1089" s="38">
        <v>1482.8341848192231</v>
      </c>
    </row>
    <row r="1090" spans="2:5" x14ac:dyDescent="0.4">
      <c r="B1090" s="35">
        <v>45</v>
      </c>
      <c r="C1090" s="36">
        <v>42887</v>
      </c>
      <c r="D1090" s="37" t="s">
        <v>16</v>
      </c>
      <c r="E1090" s="38">
        <v>732.98630136986287</v>
      </c>
    </row>
    <row r="1091" spans="2:5" x14ac:dyDescent="0.4">
      <c r="B1091" s="35">
        <v>45</v>
      </c>
      <c r="C1091" s="36">
        <v>42979</v>
      </c>
      <c r="D1091" s="37" t="s">
        <v>16</v>
      </c>
      <c r="E1091" s="38">
        <v>741.04109589041104</v>
      </c>
    </row>
    <row r="1092" spans="2:5" x14ac:dyDescent="0.4">
      <c r="B1092" s="35">
        <v>45</v>
      </c>
      <c r="C1092" s="36">
        <v>42064</v>
      </c>
      <c r="D1092" s="37" t="s">
        <v>15</v>
      </c>
      <c r="E1092" s="38">
        <v>434</v>
      </c>
    </row>
    <row r="1093" spans="2:5" x14ac:dyDescent="0.4">
      <c r="B1093" s="35">
        <v>46</v>
      </c>
      <c r="C1093" s="36">
        <v>41883</v>
      </c>
      <c r="D1093" s="37" t="s">
        <v>2</v>
      </c>
      <c r="E1093" s="38">
        <v>11652.809863013703</v>
      </c>
    </row>
    <row r="1094" spans="2:5" x14ac:dyDescent="0.4">
      <c r="B1094" s="35">
        <v>46</v>
      </c>
      <c r="C1094" s="36">
        <v>41974</v>
      </c>
      <c r="D1094" s="37" t="s">
        <v>2</v>
      </c>
      <c r="E1094" s="38">
        <v>11652.871232876712</v>
      </c>
    </row>
    <row r="1095" spans="2:5" x14ac:dyDescent="0.4">
      <c r="B1095" s="35">
        <v>46</v>
      </c>
      <c r="C1095" s="36">
        <v>42064</v>
      </c>
      <c r="D1095" s="37" t="s">
        <v>2</v>
      </c>
      <c r="E1095" s="38">
        <v>11399.547945205482</v>
      </c>
    </row>
    <row r="1096" spans="2:5" x14ac:dyDescent="0.4">
      <c r="B1096" s="35">
        <v>46</v>
      </c>
      <c r="C1096" s="36">
        <v>42156</v>
      </c>
      <c r="D1096" s="37" t="s">
        <v>2</v>
      </c>
      <c r="E1096" s="38">
        <v>11526.209589041098</v>
      </c>
    </row>
    <row r="1097" spans="2:5" x14ac:dyDescent="0.4">
      <c r="B1097" s="35">
        <v>46</v>
      </c>
      <c r="C1097" s="36">
        <v>42248</v>
      </c>
      <c r="D1097" s="37" t="s">
        <v>2</v>
      </c>
      <c r="E1097" s="38">
        <v>11857.904961000002</v>
      </c>
    </row>
    <row r="1098" spans="2:5" x14ac:dyDescent="0.4">
      <c r="B1098" s="35">
        <v>46</v>
      </c>
      <c r="C1098" s="36">
        <v>42339</v>
      </c>
      <c r="D1098" s="37" t="s">
        <v>2</v>
      </c>
      <c r="E1098" s="38">
        <v>12783.092071312502</v>
      </c>
    </row>
    <row r="1099" spans="2:5" x14ac:dyDescent="0.4">
      <c r="B1099" s="35">
        <v>46</v>
      </c>
      <c r="C1099" s="36">
        <v>42430</v>
      </c>
      <c r="D1099" s="37" t="s">
        <v>2</v>
      </c>
      <c r="E1099" s="38">
        <v>12644.1461475</v>
      </c>
    </row>
    <row r="1100" spans="2:5" x14ac:dyDescent="0.4">
      <c r="B1100" s="35">
        <v>46</v>
      </c>
      <c r="C1100" s="36">
        <v>42522</v>
      </c>
      <c r="D1100" s="37" t="s">
        <v>2</v>
      </c>
      <c r="E1100" s="38">
        <v>12644.145097499999</v>
      </c>
    </row>
    <row r="1101" spans="2:5" x14ac:dyDescent="0.4">
      <c r="B1101" s="35">
        <v>46</v>
      </c>
      <c r="C1101" s="36">
        <v>42614</v>
      </c>
      <c r="D1101" s="37" t="s">
        <v>2</v>
      </c>
      <c r="E1101" s="38">
        <v>12793.370982</v>
      </c>
    </row>
    <row r="1102" spans="2:5" x14ac:dyDescent="0.4">
      <c r="B1102" s="35">
        <v>46</v>
      </c>
      <c r="C1102" s="36">
        <v>42705</v>
      </c>
      <c r="D1102" s="37" t="s">
        <v>2</v>
      </c>
      <c r="E1102" s="38">
        <v>12818.11412</v>
      </c>
    </row>
    <row r="1103" spans="2:5" x14ac:dyDescent="0.4">
      <c r="B1103" s="35">
        <v>46</v>
      </c>
      <c r="C1103" s="36">
        <v>42795</v>
      </c>
      <c r="D1103" s="37" t="s">
        <v>2</v>
      </c>
      <c r="E1103" s="38">
        <v>12539.459765</v>
      </c>
    </row>
    <row r="1104" spans="2:5" x14ac:dyDescent="0.4">
      <c r="B1104" s="35">
        <v>46</v>
      </c>
      <c r="C1104" s="36">
        <v>42887</v>
      </c>
      <c r="D1104" s="37" t="s">
        <v>2</v>
      </c>
      <c r="E1104" s="38">
        <v>12678.786242500002</v>
      </c>
    </row>
    <row r="1105" spans="2:5" x14ac:dyDescent="0.4">
      <c r="B1105" s="35">
        <v>46</v>
      </c>
      <c r="C1105" s="36">
        <v>42979</v>
      </c>
      <c r="D1105" s="37" t="s">
        <v>2</v>
      </c>
      <c r="E1105" s="38">
        <v>12818.1145505</v>
      </c>
    </row>
    <row r="1106" spans="2:5" x14ac:dyDescent="0.4">
      <c r="B1106" s="35">
        <v>46</v>
      </c>
      <c r="C1106" s="36">
        <v>42430</v>
      </c>
      <c r="D1106" s="37" t="s">
        <v>16</v>
      </c>
      <c r="E1106" s="38">
        <v>713.31147540983625</v>
      </c>
    </row>
    <row r="1107" spans="2:5" x14ac:dyDescent="0.4">
      <c r="B1107" s="35">
        <v>46</v>
      </c>
      <c r="C1107" s="36">
        <v>42522</v>
      </c>
      <c r="D1107" s="37" t="s">
        <v>16</v>
      </c>
      <c r="E1107" s="38">
        <v>1089.8257773070548</v>
      </c>
    </row>
    <row r="1108" spans="2:5" x14ac:dyDescent="0.4">
      <c r="B1108" s="35">
        <v>46</v>
      </c>
      <c r="C1108" s="36">
        <v>42614</v>
      </c>
      <c r="D1108" s="37" t="s">
        <v>16</v>
      </c>
      <c r="E1108" s="38">
        <v>1183.2345410450052</v>
      </c>
    </row>
    <row r="1109" spans="2:5" x14ac:dyDescent="0.4">
      <c r="B1109" s="35">
        <v>46</v>
      </c>
      <c r="C1109" s="36">
        <v>42705</v>
      </c>
      <c r="D1109" s="37" t="s">
        <v>16</v>
      </c>
      <c r="E1109" s="38">
        <v>1399.0722493783383</v>
      </c>
    </row>
    <row r="1110" spans="2:5" x14ac:dyDescent="0.4">
      <c r="B1110" s="35">
        <v>46</v>
      </c>
      <c r="C1110" s="36">
        <v>42795</v>
      </c>
      <c r="D1110" s="37" t="s">
        <v>16</v>
      </c>
      <c r="E1110" s="38">
        <v>1449.4059568597659</v>
      </c>
    </row>
    <row r="1111" spans="2:5" x14ac:dyDescent="0.4">
      <c r="B1111" s="35">
        <v>46</v>
      </c>
      <c r="C1111" s="36">
        <v>42887</v>
      </c>
      <c r="D1111" s="37" t="s">
        <v>16</v>
      </c>
      <c r="E1111" s="38">
        <v>1465.9726027397262</v>
      </c>
    </row>
    <row r="1112" spans="2:5" x14ac:dyDescent="0.4">
      <c r="B1112" s="35">
        <v>46</v>
      </c>
      <c r="C1112" s="36">
        <v>42979</v>
      </c>
      <c r="D1112" s="37" t="s">
        <v>16</v>
      </c>
      <c r="E1112" s="38">
        <v>1482.0821917808221</v>
      </c>
    </row>
    <row r="1113" spans="2:5" x14ac:dyDescent="0.4">
      <c r="B1113" s="35">
        <v>46</v>
      </c>
      <c r="C1113" s="36">
        <v>41974</v>
      </c>
      <c r="D1113" s="37" t="s">
        <v>15</v>
      </c>
      <c r="E1113" s="38">
        <v>875</v>
      </c>
    </row>
    <row r="1114" spans="2:5" x14ac:dyDescent="0.4">
      <c r="B1114" s="35">
        <v>46</v>
      </c>
      <c r="C1114" s="36">
        <v>42064</v>
      </c>
      <c r="D1114" s="37" t="s">
        <v>15</v>
      </c>
      <c r="E1114" s="38">
        <v>735</v>
      </c>
    </row>
    <row r="1115" spans="2:5" x14ac:dyDescent="0.4">
      <c r="B1115" s="35">
        <v>46</v>
      </c>
      <c r="C1115" s="36">
        <v>42156</v>
      </c>
      <c r="D1115" s="37" t="s">
        <v>15</v>
      </c>
      <c r="E1115" s="38">
        <v>1706.25</v>
      </c>
    </row>
    <row r="1116" spans="2:5" x14ac:dyDescent="0.4">
      <c r="B1116" s="35">
        <v>46</v>
      </c>
      <c r="C1116" s="36">
        <v>42339</v>
      </c>
      <c r="D1116" s="37" t="s">
        <v>15</v>
      </c>
      <c r="E1116" s="38">
        <v>735</v>
      </c>
    </row>
    <row r="1117" spans="2:5" x14ac:dyDescent="0.4">
      <c r="B1117" s="35">
        <v>46</v>
      </c>
      <c r="C1117" s="36">
        <v>42430</v>
      </c>
      <c r="D1117" s="37" t="s">
        <v>15</v>
      </c>
      <c r="E1117" s="38">
        <v>3412.5</v>
      </c>
    </row>
    <row r="1118" spans="2:5" x14ac:dyDescent="0.4">
      <c r="B1118" s="35">
        <v>46</v>
      </c>
      <c r="C1118" s="36">
        <v>42522</v>
      </c>
      <c r="D1118" s="37" t="s">
        <v>15</v>
      </c>
      <c r="E1118" s="38">
        <v>3412.5</v>
      </c>
    </row>
    <row r="1119" spans="2:5" x14ac:dyDescent="0.4">
      <c r="B1119" s="35">
        <v>46</v>
      </c>
      <c r="C1119" s="36">
        <v>42614</v>
      </c>
      <c r="D1119" s="37" t="s">
        <v>15</v>
      </c>
      <c r="E1119" s="38">
        <v>3167.5</v>
      </c>
    </row>
    <row r="1120" spans="2:5" x14ac:dyDescent="0.4">
      <c r="B1120" s="35">
        <v>46</v>
      </c>
      <c r="C1120" s="36">
        <v>42979</v>
      </c>
      <c r="D1120" s="37" t="s">
        <v>15</v>
      </c>
      <c r="E1120" s="38">
        <v>1706.25</v>
      </c>
    </row>
    <row r="1121" spans="2:5" x14ac:dyDescent="0.4">
      <c r="B1121" s="35">
        <v>47</v>
      </c>
      <c r="C1121" s="36">
        <v>42614</v>
      </c>
      <c r="D1121" s="37" t="s">
        <v>1</v>
      </c>
      <c r="E1121" s="38">
        <v>6874.5513698630184</v>
      </c>
    </row>
    <row r="1122" spans="2:5" x14ac:dyDescent="0.4">
      <c r="B1122" s="35">
        <v>47</v>
      </c>
      <c r="C1122" s="36">
        <v>42705</v>
      </c>
      <c r="D1122" s="37" t="s">
        <v>1</v>
      </c>
      <c r="E1122" s="38">
        <v>14708.342465753418</v>
      </c>
    </row>
    <row r="1123" spans="2:5" x14ac:dyDescent="0.4">
      <c r="B1123" s="35">
        <v>47</v>
      </c>
      <c r="C1123" s="36">
        <v>42795</v>
      </c>
      <c r="D1123" s="37" t="s">
        <v>1</v>
      </c>
      <c r="E1123" s="38">
        <v>14388.595890410961</v>
      </c>
    </row>
    <row r="1124" spans="2:5" x14ac:dyDescent="0.4">
      <c r="B1124" s="35">
        <v>47</v>
      </c>
      <c r="C1124" s="36">
        <v>42887</v>
      </c>
      <c r="D1124" s="37" t="s">
        <v>1</v>
      </c>
      <c r="E1124" s="38">
        <v>14548.469178082194</v>
      </c>
    </row>
    <row r="1125" spans="2:5" x14ac:dyDescent="0.4">
      <c r="B1125" s="35">
        <v>47</v>
      </c>
      <c r="C1125" s="36">
        <v>42979</v>
      </c>
      <c r="D1125" s="37" t="s">
        <v>1</v>
      </c>
      <c r="E1125" s="38">
        <v>14386.811929223742</v>
      </c>
    </row>
    <row r="1126" spans="2:5" x14ac:dyDescent="0.4">
      <c r="B1126" s="35">
        <v>47</v>
      </c>
      <c r="C1126" s="36">
        <v>42614</v>
      </c>
      <c r="D1126" s="37" t="s">
        <v>16</v>
      </c>
      <c r="E1126" s="38">
        <v>758.89109589041107</v>
      </c>
    </row>
    <row r="1127" spans="2:5" x14ac:dyDescent="0.4">
      <c r="B1127" s="35">
        <v>47</v>
      </c>
      <c r="C1127" s="36">
        <v>42705</v>
      </c>
      <c r="D1127" s="37" t="s">
        <v>16</v>
      </c>
      <c r="E1127" s="38">
        <v>1623.6739726027397</v>
      </c>
    </row>
    <row r="1128" spans="2:5" x14ac:dyDescent="0.4">
      <c r="B1128" s="35">
        <v>47</v>
      </c>
      <c r="C1128" s="36">
        <v>42795</v>
      </c>
      <c r="D1128" s="37" t="s">
        <v>16</v>
      </c>
      <c r="E1128" s="38">
        <v>1588.3767123287671</v>
      </c>
    </row>
    <row r="1129" spans="2:5" x14ac:dyDescent="0.4">
      <c r="B1129" s="35">
        <v>47</v>
      </c>
      <c r="C1129" s="36">
        <v>42887</v>
      </c>
      <c r="D1129" s="37" t="s">
        <v>16</v>
      </c>
      <c r="E1129" s="38">
        <v>1606.0253424657533</v>
      </c>
    </row>
    <row r="1130" spans="2:5" x14ac:dyDescent="0.4">
      <c r="B1130" s="35">
        <v>47</v>
      </c>
      <c r="C1130" s="36">
        <v>42979</v>
      </c>
      <c r="D1130" s="37" t="s">
        <v>16</v>
      </c>
      <c r="E1130" s="38">
        <v>1564.2658312577835</v>
      </c>
    </row>
    <row r="1131" spans="2:5" x14ac:dyDescent="0.4">
      <c r="B1131" s="35">
        <v>47</v>
      </c>
      <c r="C1131" s="36">
        <v>42522</v>
      </c>
      <c r="D1131" s="37" t="s">
        <v>15</v>
      </c>
      <c r="E1131" s="38">
        <v>7087.5</v>
      </c>
    </row>
    <row r="1132" spans="2:5" x14ac:dyDescent="0.4">
      <c r="B1132" s="35">
        <v>48</v>
      </c>
      <c r="C1132" s="36">
        <v>41883</v>
      </c>
      <c r="D1132" s="37" t="s">
        <v>2</v>
      </c>
      <c r="E1132" s="38">
        <v>13691.616438356159</v>
      </c>
    </row>
    <row r="1133" spans="2:5" x14ac:dyDescent="0.4">
      <c r="B1133" s="35">
        <v>48</v>
      </c>
      <c r="C1133" s="36">
        <v>41974</v>
      </c>
      <c r="D1133" s="37" t="s">
        <v>2</v>
      </c>
      <c r="E1133" s="38">
        <v>15832.96917808219</v>
      </c>
    </row>
    <row r="1134" spans="2:5" x14ac:dyDescent="0.4">
      <c r="B1134" s="35">
        <v>48</v>
      </c>
      <c r="C1134" s="36">
        <v>42064</v>
      </c>
      <c r="D1134" s="37" t="s">
        <v>2</v>
      </c>
      <c r="E1134" s="38">
        <v>14203.047945205479</v>
      </c>
    </row>
    <row r="1135" spans="2:5" x14ac:dyDescent="0.4">
      <c r="B1135" s="35">
        <v>48</v>
      </c>
      <c r="C1135" s="36">
        <v>42156</v>
      </c>
      <c r="D1135" s="37" t="s">
        <v>2</v>
      </c>
      <c r="E1135" s="38">
        <v>15189.211163822147</v>
      </c>
    </row>
    <row r="1136" spans="2:5" x14ac:dyDescent="0.4">
      <c r="B1136" s="35">
        <v>48</v>
      </c>
      <c r="C1136" s="36">
        <v>42248</v>
      </c>
      <c r="D1136" s="37" t="s">
        <v>2</v>
      </c>
      <c r="E1136" s="38">
        <v>16186.549605834996</v>
      </c>
    </row>
    <row r="1137" spans="2:5" x14ac:dyDescent="0.4">
      <c r="B1137" s="35">
        <v>48</v>
      </c>
      <c r="C1137" s="36">
        <v>42339</v>
      </c>
      <c r="D1137" s="37" t="s">
        <v>2</v>
      </c>
      <c r="E1137" s="38">
        <v>16895.418955835001</v>
      </c>
    </row>
    <row r="1138" spans="2:5" x14ac:dyDescent="0.4">
      <c r="B1138" s="35">
        <v>48</v>
      </c>
      <c r="C1138" s="36">
        <v>42430</v>
      </c>
      <c r="D1138" s="37" t="s">
        <v>2</v>
      </c>
      <c r="E1138" s="38">
        <v>16281.647584999995</v>
      </c>
    </row>
    <row r="1139" spans="2:5" x14ac:dyDescent="0.4">
      <c r="B1139" s="35">
        <v>48</v>
      </c>
      <c r="C1139" s="36">
        <v>42522</v>
      </c>
      <c r="D1139" s="37" t="s">
        <v>2</v>
      </c>
      <c r="E1139" s="38">
        <v>17196.764392500005</v>
      </c>
    </row>
    <row r="1140" spans="2:5" x14ac:dyDescent="0.4">
      <c r="B1140" s="35">
        <v>48</v>
      </c>
      <c r="C1140" s="36">
        <v>42614</v>
      </c>
      <c r="D1140" s="37" t="s">
        <v>2</v>
      </c>
      <c r="E1140" s="38">
        <v>17692.024087499998</v>
      </c>
    </row>
    <row r="1141" spans="2:5" x14ac:dyDescent="0.4">
      <c r="B1141" s="35">
        <v>48</v>
      </c>
      <c r="C1141" s="36">
        <v>42705</v>
      </c>
      <c r="D1141" s="37" t="s">
        <v>2</v>
      </c>
      <c r="E1141" s="38">
        <v>17692.024087500002</v>
      </c>
    </row>
    <row r="1142" spans="2:5" x14ac:dyDescent="0.4">
      <c r="B1142" s="35">
        <v>48</v>
      </c>
      <c r="C1142" s="36">
        <v>42795</v>
      </c>
      <c r="D1142" s="37" t="s">
        <v>2</v>
      </c>
      <c r="E1142" s="38">
        <v>17307.415177500003</v>
      </c>
    </row>
    <row r="1143" spans="2:5" x14ac:dyDescent="0.4">
      <c r="B1143" s="35">
        <v>48</v>
      </c>
      <c r="C1143" s="36">
        <v>42887</v>
      </c>
      <c r="D1143" s="37" t="s">
        <v>2</v>
      </c>
      <c r="E1143" s="38">
        <v>14647.886226750001</v>
      </c>
    </row>
    <row r="1144" spans="2:5" x14ac:dyDescent="0.4">
      <c r="B1144" s="35">
        <v>48</v>
      </c>
      <c r="C1144" s="36">
        <v>42979</v>
      </c>
      <c r="D1144" s="37" t="s">
        <v>2</v>
      </c>
      <c r="E1144" s="38">
        <v>12921.684107499999</v>
      </c>
    </row>
    <row r="1145" spans="2:5" x14ac:dyDescent="0.4">
      <c r="B1145" s="35">
        <v>48</v>
      </c>
      <c r="C1145" s="36">
        <v>42064</v>
      </c>
      <c r="D1145" s="37" t="s">
        <v>16</v>
      </c>
      <c r="E1145" s="38">
        <v>579.94520547945228</v>
      </c>
    </row>
    <row r="1146" spans="2:5" x14ac:dyDescent="0.4">
      <c r="B1146" s="35">
        <v>48</v>
      </c>
      <c r="C1146" s="36">
        <v>42156</v>
      </c>
      <c r="D1146" s="37" t="s">
        <v>16</v>
      </c>
      <c r="E1146" s="38">
        <v>732.98630136986287</v>
      </c>
    </row>
    <row r="1147" spans="2:5" x14ac:dyDescent="0.4">
      <c r="B1147" s="35">
        <v>48</v>
      </c>
      <c r="C1147" s="36">
        <v>42248</v>
      </c>
      <c r="D1147" s="37" t="s">
        <v>16</v>
      </c>
      <c r="E1147" s="38">
        <v>1802.953023264713</v>
      </c>
    </row>
    <row r="1148" spans="2:5" x14ac:dyDescent="0.4">
      <c r="B1148" s="35">
        <v>48</v>
      </c>
      <c r="C1148" s="36">
        <v>42339</v>
      </c>
      <c r="D1148" s="37" t="s">
        <v>16</v>
      </c>
      <c r="E1148" s="38">
        <v>2156.923665722813</v>
      </c>
    </row>
    <row r="1149" spans="2:5" x14ac:dyDescent="0.4">
      <c r="B1149" s="35">
        <v>48</v>
      </c>
      <c r="C1149" s="36">
        <v>42430</v>
      </c>
      <c r="D1149" s="37" t="s">
        <v>16</v>
      </c>
      <c r="E1149" s="38">
        <v>2102.652295966438</v>
      </c>
    </row>
    <row r="1150" spans="2:5" x14ac:dyDescent="0.4">
      <c r="B1150" s="35">
        <v>48</v>
      </c>
      <c r="C1150" s="36">
        <v>42522</v>
      </c>
      <c r="D1150" s="37" t="s">
        <v>16</v>
      </c>
      <c r="E1150" s="38">
        <v>2095.0512295081971</v>
      </c>
    </row>
    <row r="1151" spans="2:5" x14ac:dyDescent="0.4">
      <c r="B1151" s="35">
        <v>48</v>
      </c>
      <c r="C1151" s="36">
        <v>42614</v>
      </c>
      <c r="D1151" s="37" t="s">
        <v>16</v>
      </c>
      <c r="E1151" s="38">
        <v>2733.6316652286455</v>
      </c>
    </row>
    <row r="1152" spans="2:5" x14ac:dyDescent="0.4">
      <c r="B1152" s="35">
        <v>48</v>
      </c>
      <c r="C1152" s="36">
        <v>42705</v>
      </c>
      <c r="D1152" s="37" t="s">
        <v>16</v>
      </c>
      <c r="E1152" s="38">
        <v>2825.9653494391705</v>
      </c>
    </row>
    <row r="1153" spans="2:5" x14ac:dyDescent="0.4">
      <c r="B1153" s="35">
        <v>48</v>
      </c>
      <c r="C1153" s="36">
        <v>42795</v>
      </c>
      <c r="D1153" s="37" t="s">
        <v>16</v>
      </c>
      <c r="E1153" s="38">
        <v>2769.1254421028989</v>
      </c>
    </row>
    <row r="1154" spans="2:5" x14ac:dyDescent="0.4">
      <c r="B1154" s="35">
        <v>48</v>
      </c>
      <c r="C1154" s="36">
        <v>42887</v>
      </c>
      <c r="D1154" s="37" t="s">
        <v>16</v>
      </c>
      <c r="E1154" s="38">
        <v>2801.0547945205485</v>
      </c>
    </row>
    <row r="1155" spans="2:5" x14ac:dyDescent="0.4">
      <c r="B1155" s="35">
        <v>48</v>
      </c>
      <c r="C1155" s="36">
        <v>42979</v>
      </c>
      <c r="D1155" s="37" t="s">
        <v>16</v>
      </c>
      <c r="E1155" s="38">
        <v>2831.8356164383563</v>
      </c>
    </row>
    <row r="1156" spans="2:5" x14ac:dyDescent="0.4">
      <c r="B1156" s="35">
        <v>48</v>
      </c>
      <c r="C1156" s="36">
        <v>41974</v>
      </c>
      <c r="D1156" s="37" t="s">
        <v>14</v>
      </c>
      <c r="E1156" s="38">
        <v>26250</v>
      </c>
    </row>
    <row r="1157" spans="2:5" x14ac:dyDescent="0.4">
      <c r="B1157" s="35">
        <v>48</v>
      </c>
      <c r="C1157" s="36">
        <v>42156</v>
      </c>
      <c r="D1157" s="37" t="s">
        <v>14</v>
      </c>
      <c r="E1157" s="38">
        <v>38202.5</v>
      </c>
    </row>
    <row r="1158" spans="2:5" x14ac:dyDescent="0.4">
      <c r="B1158" s="35">
        <v>48</v>
      </c>
      <c r="C1158" s="36">
        <v>42339</v>
      </c>
      <c r="D1158" s="37" t="s">
        <v>14</v>
      </c>
      <c r="E1158" s="38">
        <v>17440.5</v>
      </c>
    </row>
    <row r="1159" spans="2:5" x14ac:dyDescent="0.4">
      <c r="B1159" s="35">
        <v>49</v>
      </c>
      <c r="C1159" s="36">
        <v>42248</v>
      </c>
      <c r="D1159" s="37" t="s">
        <v>2</v>
      </c>
      <c r="E1159" s="38">
        <v>10823.329138772498</v>
      </c>
    </row>
    <row r="1160" spans="2:5" x14ac:dyDescent="0.4">
      <c r="B1160" s="35">
        <v>49</v>
      </c>
      <c r="C1160" s="36">
        <v>42339</v>
      </c>
      <c r="D1160" s="37" t="s">
        <v>2</v>
      </c>
      <c r="E1160" s="38">
        <v>10823.329138772508</v>
      </c>
    </row>
    <row r="1161" spans="2:5" x14ac:dyDescent="0.4">
      <c r="B1161" s="35">
        <v>49</v>
      </c>
      <c r="C1161" s="36">
        <v>42430</v>
      </c>
      <c r="D1161" s="37" t="s">
        <v>2</v>
      </c>
      <c r="E1161" s="38">
        <v>10823.3483225</v>
      </c>
    </row>
    <row r="1162" spans="2:5" x14ac:dyDescent="0.4">
      <c r="B1162" s="35">
        <v>49</v>
      </c>
      <c r="C1162" s="36">
        <v>42522</v>
      </c>
      <c r="D1162" s="37" t="s">
        <v>2</v>
      </c>
      <c r="E1162" s="38">
        <v>10823.329964999997</v>
      </c>
    </row>
    <row r="1163" spans="2:5" x14ac:dyDescent="0.4">
      <c r="B1163" s="35">
        <v>49</v>
      </c>
      <c r="C1163" s="36">
        <v>42614</v>
      </c>
      <c r="D1163" s="37" t="s">
        <v>2</v>
      </c>
      <c r="E1163" s="38">
        <v>10823.3125</v>
      </c>
    </row>
    <row r="1164" spans="2:5" x14ac:dyDescent="0.4">
      <c r="B1164" s="35">
        <v>49</v>
      </c>
      <c r="C1164" s="36">
        <v>42705</v>
      </c>
      <c r="D1164" s="37" t="s">
        <v>2</v>
      </c>
      <c r="E1164" s="38">
        <v>10823.312500000004</v>
      </c>
    </row>
    <row r="1165" spans="2:5" x14ac:dyDescent="0.4">
      <c r="B1165" s="35">
        <v>49</v>
      </c>
      <c r="C1165" s="36">
        <v>42795</v>
      </c>
      <c r="D1165" s="37" t="s">
        <v>2</v>
      </c>
      <c r="E1165" s="38">
        <v>10823.310557499999</v>
      </c>
    </row>
    <row r="1166" spans="2:5" x14ac:dyDescent="0.4">
      <c r="B1166" s="35">
        <v>49</v>
      </c>
      <c r="C1166" s="36">
        <v>42887</v>
      </c>
      <c r="D1166" s="37" t="s">
        <v>2</v>
      </c>
      <c r="E1166" s="38">
        <v>10823.3125175</v>
      </c>
    </row>
    <row r="1167" spans="2:5" x14ac:dyDescent="0.4">
      <c r="B1167" s="35">
        <v>49</v>
      </c>
      <c r="C1167" s="36">
        <v>42979</v>
      </c>
      <c r="D1167" s="37" t="s">
        <v>2</v>
      </c>
      <c r="E1167" s="38">
        <v>10823.312500000002</v>
      </c>
    </row>
    <row r="1168" spans="2:5" x14ac:dyDescent="0.4">
      <c r="B1168" s="35">
        <v>49</v>
      </c>
      <c r="C1168" s="36">
        <v>42248</v>
      </c>
      <c r="D1168" s="37" t="s">
        <v>15</v>
      </c>
      <c r="E1168" s="38">
        <v>1706.25</v>
      </c>
    </row>
    <row r="1169" spans="2:5" x14ac:dyDescent="0.4">
      <c r="B1169" s="35">
        <v>49</v>
      </c>
      <c r="C1169" s="36">
        <v>42339</v>
      </c>
      <c r="D1169" s="37" t="s">
        <v>15</v>
      </c>
      <c r="E1169" s="38">
        <v>1557.5</v>
      </c>
    </row>
    <row r="1170" spans="2:5" x14ac:dyDescent="0.4">
      <c r="B1170" s="35">
        <v>49</v>
      </c>
      <c r="C1170" s="36">
        <v>42430</v>
      </c>
      <c r="D1170" s="37" t="s">
        <v>15</v>
      </c>
      <c r="E1170" s="38">
        <v>1557.5</v>
      </c>
    </row>
    <row r="1171" spans="2:5" x14ac:dyDescent="0.4">
      <c r="B1171" s="35">
        <v>49</v>
      </c>
      <c r="C1171" s="36">
        <v>42522</v>
      </c>
      <c r="D1171" s="37" t="s">
        <v>15</v>
      </c>
      <c r="E1171" s="38">
        <v>1557.5</v>
      </c>
    </row>
    <row r="1172" spans="2:5" x14ac:dyDescent="0.4">
      <c r="B1172" s="35">
        <v>49</v>
      </c>
      <c r="C1172" s="36">
        <v>42705</v>
      </c>
      <c r="D1172" s="37" t="s">
        <v>15</v>
      </c>
      <c r="E1172" s="38">
        <v>3115</v>
      </c>
    </row>
    <row r="1173" spans="2:5" x14ac:dyDescent="0.4">
      <c r="B1173" s="35">
        <v>49</v>
      </c>
      <c r="C1173" s="36">
        <v>42795</v>
      </c>
      <c r="D1173" s="37" t="s">
        <v>15</v>
      </c>
      <c r="E1173" s="38">
        <v>2215.5</v>
      </c>
    </row>
    <row r="1174" spans="2:5" x14ac:dyDescent="0.4">
      <c r="B1174" s="35">
        <v>49</v>
      </c>
      <c r="C1174" s="36">
        <v>42887</v>
      </c>
      <c r="D1174" s="37" t="s">
        <v>15</v>
      </c>
      <c r="E1174" s="38">
        <v>1557.5</v>
      </c>
    </row>
    <row r="1175" spans="2:5" x14ac:dyDescent="0.4">
      <c r="B1175" s="35">
        <v>49</v>
      </c>
      <c r="C1175" s="36">
        <v>42979</v>
      </c>
      <c r="D1175" s="37" t="s">
        <v>15</v>
      </c>
      <c r="E1175" s="38">
        <v>4672.5</v>
      </c>
    </row>
    <row r="1176" spans="2:5" x14ac:dyDescent="0.4">
      <c r="B1176" s="35">
        <v>50</v>
      </c>
      <c r="C1176" s="36">
        <v>41883</v>
      </c>
      <c r="D1176" s="37" t="s">
        <v>2</v>
      </c>
      <c r="E1176" s="38">
        <v>10991.911095890417</v>
      </c>
    </row>
    <row r="1177" spans="2:5" x14ac:dyDescent="0.4">
      <c r="B1177" s="35">
        <v>50</v>
      </c>
      <c r="C1177" s="36">
        <v>41974</v>
      </c>
      <c r="D1177" s="37" t="s">
        <v>2</v>
      </c>
      <c r="E1177" s="38">
        <v>10795.575479452054</v>
      </c>
    </row>
    <row r="1178" spans="2:5" x14ac:dyDescent="0.4">
      <c r="B1178" s="35">
        <v>50</v>
      </c>
      <c r="C1178" s="36">
        <v>42064</v>
      </c>
      <c r="D1178" s="37" t="s">
        <v>2</v>
      </c>
      <c r="E1178" s="38">
        <v>9393.7099315068499</v>
      </c>
    </row>
    <row r="1179" spans="2:5" x14ac:dyDescent="0.4">
      <c r="B1179" s="35">
        <v>50</v>
      </c>
      <c r="C1179" s="36">
        <v>42156</v>
      </c>
      <c r="D1179" s="37" t="s">
        <v>2</v>
      </c>
      <c r="E1179" s="38">
        <v>10064.856746575348</v>
      </c>
    </row>
    <row r="1180" spans="2:5" x14ac:dyDescent="0.4">
      <c r="B1180" s="35">
        <v>50</v>
      </c>
      <c r="C1180" s="36">
        <v>42248</v>
      </c>
      <c r="D1180" s="37" t="s">
        <v>2</v>
      </c>
      <c r="E1180" s="38">
        <v>9872.6291699524991</v>
      </c>
    </row>
    <row r="1181" spans="2:5" x14ac:dyDescent="0.4">
      <c r="B1181" s="35">
        <v>50</v>
      </c>
      <c r="C1181" s="36">
        <v>42339</v>
      </c>
      <c r="D1181" s="37" t="s">
        <v>2</v>
      </c>
      <c r="E1181" s="38">
        <v>9916.9833014525029</v>
      </c>
    </row>
    <row r="1182" spans="2:5" x14ac:dyDescent="0.4">
      <c r="B1182" s="35">
        <v>50</v>
      </c>
      <c r="C1182" s="36">
        <v>42430</v>
      </c>
      <c r="D1182" s="37" t="s">
        <v>2</v>
      </c>
      <c r="E1182" s="38">
        <v>10893.178590000001</v>
      </c>
    </row>
    <row r="1183" spans="2:5" x14ac:dyDescent="0.4">
      <c r="B1183" s="35">
        <v>50</v>
      </c>
      <c r="C1183" s="36">
        <v>42522</v>
      </c>
      <c r="D1183" s="37" t="s">
        <v>2</v>
      </c>
      <c r="E1183" s="38">
        <v>10893.178520000001</v>
      </c>
    </row>
    <row r="1184" spans="2:5" x14ac:dyDescent="0.4">
      <c r="B1184" s="35">
        <v>50</v>
      </c>
      <c r="C1184" s="36">
        <v>42614</v>
      </c>
      <c r="D1184" s="37" t="s">
        <v>2</v>
      </c>
      <c r="E1184" s="38">
        <v>11012.883805000001</v>
      </c>
    </row>
    <row r="1185" spans="2:5" x14ac:dyDescent="0.4">
      <c r="B1185" s="35">
        <v>50</v>
      </c>
      <c r="C1185" s="36">
        <v>42705</v>
      </c>
      <c r="D1185" s="37" t="s">
        <v>2</v>
      </c>
      <c r="E1185" s="38">
        <v>11158.529054750001</v>
      </c>
    </row>
    <row r="1186" spans="2:5" x14ac:dyDescent="0.4">
      <c r="B1186" s="35">
        <v>50</v>
      </c>
      <c r="C1186" s="36">
        <v>42795</v>
      </c>
      <c r="D1186" s="37" t="s">
        <v>2</v>
      </c>
      <c r="E1186" s="38">
        <v>10918.663817249999</v>
      </c>
    </row>
    <row r="1187" spans="2:5" x14ac:dyDescent="0.4">
      <c r="B1187" s="35">
        <v>50</v>
      </c>
      <c r="C1187" s="36">
        <v>42887</v>
      </c>
      <c r="D1187" s="37" t="s">
        <v>2</v>
      </c>
      <c r="E1187" s="38">
        <v>10834.0024975</v>
      </c>
    </row>
    <row r="1188" spans="2:5" x14ac:dyDescent="0.4">
      <c r="B1188" s="35">
        <v>50</v>
      </c>
      <c r="C1188" s="36">
        <v>42979</v>
      </c>
      <c r="D1188" s="37" t="s">
        <v>2</v>
      </c>
      <c r="E1188" s="38">
        <v>9524.3978164999971</v>
      </c>
    </row>
    <row r="1189" spans="2:5" x14ac:dyDescent="0.4">
      <c r="B1189" s="35">
        <v>50</v>
      </c>
      <c r="C1189" s="36">
        <v>42156</v>
      </c>
      <c r="D1189" s="37" t="s">
        <v>16</v>
      </c>
      <c r="E1189" s="38">
        <v>2854.7950819672133</v>
      </c>
    </row>
    <row r="1190" spans="2:5" x14ac:dyDescent="0.4">
      <c r="B1190" s="35">
        <v>50</v>
      </c>
      <c r="C1190" s="36">
        <v>42248</v>
      </c>
      <c r="D1190" s="37" t="s">
        <v>16</v>
      </c>
      <c r="E1190" s="38">
        <v>4236.1475409836057</v>
      </c>
    </row>
    <row r="1191" spans="2:5" x14ac:dyDescent="0.4">
      <c r="B1191" s="35">
        <v>50</v>
      </c>
      <c r="C1191" s="36">
        <v>42339</v>
      </c>
      <c r="D1191" s="37" t="s">
        <v>16</v>
      </c>
      <c r="E1191" s="38">
        <v>4236.1475409836075</v>
      </c>
    </row>
    <row r="1192" spans="2:5" x14ac:dyDescent="0.4">
      <c r="B1192" s="35">
        <v>50</v>
      </c>
      <c r="C1192" s="36">
        <v>42430</v>
      </c>
      <c r="D1192" s="37" t="s">
        <v>16</v>
      </c>
      <c r="E1192" s="38">
        <v>4190.1024590163961</v>
      </c>
    </row>
    <row r="1193" spans="2:5" x14ac:dyDescent="0.4">
      <c r="B1193" s="35">
        <v>50</v>
      </c>
      <c r="C1193" s="36">
        <v>42522</v>
      </c>
      <c r="D1193" s="37" t="s">
        <v>16</v>
      </c>
      <c r="E1193" s="38">
        <v>4197.9238154053446</v>
      </c>
    </row>
    <row r="1194" spans="2:5" x14ac:dyDescent="0.4">
      <c r="B1194" s="35">
        <v>50</v>
      </c>
      <c r="C1194" s="36">
        <v>42614</v>
      </c>
      <c r="D1194" s="37" t="s">
        <v>16</v>
      </c>
      <c r="E1194" s="38">
        <v>4247.7534246575333</v>
      </c>
    </row>
    <row r="1195" spans="2:5" x14ac:dyDescent="0.4">
      <c r="B1195" s="35">
        <v>50</v>
      </c>
      <c r="C1195" s="36">
        <v>42705</v>
      </c>
      <c r="D1195" s="37" t="s">
        <v>16</v>
      </c>
      <c r="E1195" s="38">
        <v>4247.7534246575342</v>
      </c>
    </row>
    <row r="1196" spans="2:5" x14ac:dyDescent="0.4">
      <c r="B1196" s="35">
        <v>50</v>
      </c>
      <c r="C1196" s="36">
        <v>42795</v>
      </c>
      <c r="D1196" s="37" t="s">
        <v>16</v>
      </c>
      <c r="E1196" s="38">
        <v>4155.41095890411</v>
      </c>
    </row>
    <row r="1197" spans="2:5" x14ac:dyDescent="0.4">
      <c r="B1197" s="35">
        <v>50</v>
      </c>
      <c r="C1197" s="36">
        <v>42887</v>
      </c>
      <c r="D1197" s="37" t="s">
        <v>16</v>
      </c>
      <c r="E1197" s="38">
        <v>1338.9657534246576</v>
      </c>
    </row>
    <row r="1198" spans="2:5" x14ac:dyDescent="0.4">
      <c r="B1198" s="35">
        <v>50</v>
      </c>
      <c r="C1198" s="36">
        <v>41883</v>
      </c>
      <c r="D1198" s="37" t="s">
        <v>15</v>
      </c>
      <c r="E1198" s="38">
        <v>3167.5</v>
      </c>
    </row>
    <row r="1199" spans="2:5" x14ac:dyDescent="0.4">
      <c r="B1199" s="35">
        <v>50</v>
      </c>
      <c r="C1199" s="36">
        <v>41974</v>
      </c>
      <c r="D1199" s="37" t="s">
        <v>15</v>
      </c>
      <c r="E1199" s="38">
        <v>5950</v>
      </c>
    </row>
    <row r="1200" spans="2:5" x14ac:dyDescent="0.4">
      <c r="B1200" s="35">
        <v>50</v>
      </c>
      <c r="C1200" s="36">
        <v>42156</v>
      </c>
      <c r="D1200" s="37" t="s">
        <v>15</v>
      </c>
      <c r="E1200" s="38">
        <v>2975</v>
      </c>
    </row>
    <row r="1201" spans="2:5" x14ac:dyDescent="0.4">
      <c r="B1201" s="35">
        <v>50</v>
      </c>
      <c r="C1201" s="36">
        <v>42248</v>
      </c>
      <c r="D1201" s="37" t="s">
        <v>15</v>
      </c>
      <c r="E1201" s="38">
        <v>2975</v>
      </c>
    </row>
    <row r="1202" spans="2:5" x14ac:dyDescent="0.4">
      <c r="B1202" s="35">
        <v>50</v>
      </c>
      <c r="C1202" s="36">
        <v>42339</v>
      </c>
      <c r="D1202" s="37" t="s">
        <v>15</v>
      </c>
      <c r="E1202" s="38">
        <v>5950</v>
      </c>
    </row>
    <row r="1203" spans="2:5" x14ac:dyDescent="0.4">
      <c r="B1203" s="35">
        <v>50</v>
      </c>
      <c r="C1203" s="36">
        <v>42430</v>
      </c>
      <c r="D1203" s="37" t="s">
        <v>15</v>
      </c>
      <c r="E1203" s="38">
        <v>5950</v>
      </c>
    </row>
    <row r="1204" spans="2:5" x14ac:dyDescent="0.4">
      <c r="B1204" s="35">
        <v>50</v>
      </c>
      <c r="C1204" s="36">
        <v>42522</v>
      </c>
      <c r="D1204" s="37" t="s">
        <v>15</v>
      </c>
      <c r="E1204" s="38">
        <v>5950</v>
      </c>
    </row>
    <row r="1205" spans="2:5" x14ac:dyDescent="0.4">
      <c r="B1205" s="35">
        <v>50</v>
      </c>
      <c r="C1205" s="36">
        <v>42614</v>
      </c>
      <c r="D1205" s="37" t="s">
        <v>15</v>
      </c>
      <c r="E1205" s="38">
        <v>2975</v>
      </c>
    </row>
    <row r="1206" spans="2:5" x14ac:dyDescent="0.4">
      <c r="B1206" s="35">
        <v>50</v>
      </c>
      <c r="C1206" s="36">
        <v>42705</v>
      </c>
      <c r="D1206" s="37" t="s">
        <v>15</v>
      </c>
      <c r="E1206" s="38">
        <v>8925</v>
      </c>
    </row>
    <row r="1207" spans="2:5" x14ac:dyDescent="0.4">
      <c r="B1207" s="35">
        <v>50</v>
      </c>
      <c r="C1207" s="36">
        <v>42795</v>
      </c>
      <c r="D1207" s="37" t="s">
        <v>15</v>
      </c>
      <c r="E1207" s="38">
        <v>5950</v>
      </c>
    </row>
    <row r="1208" spans="2:5" x14ac:dyDescent="0.4">
      <c r="B1208" s="35">
        <v>50</v>
      </c>
      <c r="C1208" s="36">
        <v>42887</v>
      </c>
      <c r="D1208" s="37" t="s">
        <v>15</v>
      </c>
      <c r="E1208" s="38">
        <v>7507.5</v>
      </c>
    </row>
    <row r="1209" spans="2:5" x14ac:dyDescent="0.4">
      <c r="B1209" s="35">
        <v>50</v>
      </c>
      <c r="C1209" s="36">
        <v>42979</v>
      </c>
      <c r="D1209" s="37" t="s">
        <v>15</v>
      </c>
      <c r="E1209" s="38">
        <v>5775</v>
      </c>
    </row>
    <row r="1210" spans="2:5" x14ac:dyDescent="0.4">
      <c r="B1210" s="35">
        <v>50</v>
      </c>
      <c r="C1210" s="36">
        <v>42156</v>
      </c>
      <c r="D1210" s="37" t="s">
        <v>14</v>
      </c>
      <c r="E1210" s="38">
        <v>12250</v>
      </c>
    </row>
    <row r="1211" spans="2:5" x14ac:dyDescent="0.4">
      <c r="C1211" s="31"/>
      <c r="E1211" s="30"/>
    </row>
    <row r="1212" spans="2:5" x14ac:dyDescent="0.4">
      <c r="C1212" s="31"/>
      <c r="E1212" s="30"/>
    </row>
    <row r="1213" spans="2:5" x14ac:dyDescent="0.4">
      <c r="C1213" s="31"/>
      <c r="E1213" s="30"/>
    </row>
    <row r="1214" spans="2:5" x14ac:dyDescent="0.4">
      <c r="C1214" s="31"/>
      <c r="E1214" s="30"/>
    </row>
    <row r="1215" spans="2:5" x14ac:dyDescent="0.4">
      <c r="C1215" s="31"/>
      <c r="E1215" s="30"/>
    </row>
    <row r="1216" spans="2:5" x14ac:dyDescent="0.4">
      <c r="C1216" s="31"/>
      <c r="E1216" s="30"/>
    </row>
    <row r="1217" spans="3:5" x14ac:dyDescent="0.4">
      <c r="C1217" s="31"/>
      <c r="E1217" s="30"/>
    </row>
    <row r="1218" spans="3:5" x14ac:dyDescent="0.4">
      <c r="C1218" s="31"/>
      <c r="E1218" s="30"/>
    </row>
    <row r="1219" spans="3:5" x14ac:dyDescent="0.4">
      <c r="C1219" s="31"/>
      <c r="E1219" s="30"/>
    </row>
    <row r="1220" spans="3:5" x14ac:dyDescent="0.4">
      <c r="C1220" s="31"/>
      <c r="E1220" s="30"/>
    </row>
    <row r="1221" spans="3:5" x14ac:dyDescent="0.4">
      <c r="C1221" s="31"/>
      <c r="E1221" s="30"/>
    </row>
    <row r="1222" spans="3:5" x14ac:dyDescent="0.4">
      <c r="C1222" s="31"/>
      <c r="E1222" s="30"/>
    </row>
    <row r="1223" spans="3:5" x14ac:dyDescent="0.4">
      <c r="C1223" s="31"/>
      <c r="E1223" s="30"/>
    </row>
    <row r="1224" spans="3:5" x14ac:dyDescent="0.4">
      <c r="C1224" s="31"/>
      <c r="E1224" s="30"/>
    </row>
    <row r="1225" spans="3:5" x14ac:dyDescent="0.4">
      <c r="C1225" s="31"/>
      <c r="E1225" s="30"/>
    </row>
    <row r="1226" spans="3:5" x14ac:dyDescent="0.4">
      <c r="C1226" s="31"/>
      <c r="E1226" s="30"/>
    </row>
    <row r="1227" spans="3:5" x14ac:dyDescent="0.4">
      <c r="C1227" s="31"/>
      <c r="E1227" s="30"/>
    </row>
    <row r="1228" spans="3:5" x14ac:dyDescent="0.4">
      <c r="C1228" s="31"/>
      <c r="E1228" s="30"/>
    </row>
    <row r="1229" spans="3:5" x14ac:dyDescent="0.4">
      <c r="C1229" s="31"/>
      <c r="E1229" s="30"/>
    </row>
    <row r="1230" spans="3:5" x14ac:dyDescent="0.4">
      <c r="C1230" s="31"/>
      <c r="E1230" s="30"/>
    </row>
    <row r="1231" spans="3:5" x14ac:dyDescent="0.4">
      <c r="C1231" s="31"/>
      <c r="E1231" s="30"/>
    </row>
    <row r="1232" spans="3:5" x14ac:dyDescent="0.4">
      <c r="C1232" s="31"/>
      <c r="E1232" s="30"/>
    </row>
    <row r="1233" spans="3:5" x14ac:dyDescent="0.4">
      <c r="C1233" s="31"/>
      <c r="E1233" s="30"/>
    </row>
    <row r="1234" spans="3:5" x14ac:dyDescent="0.4">
      <c r="C1234" s="31"/>
      <c r="E1234" s="30"/>
    </row>
    <row r="1235" spans="3:5" x14ac:dyDescent="0.4">
      <c r="C1235" s="31"/>
      <c r="E1235" s="30"/>
    </row>
    <row r="1236" spans="3:5" x14ac:dyDescent="0.4">
      <c r="C1236" s="31"/>
      <c r="E1236" s="30"/>
    </row>
    <row r="1237" spans="3:5" x14ac:dyDescent="0.4">
      <c r="C1237" s="31"/>
      <c r="E1237" s="30"/>
    </row>
    <row r="1238" spans="3:5" x14ac:dyDescent="0.4">
      <c r="C1238" s="31"/>
      <c r="E1238" s="30"/>
    </row>
    <row r="1239" spans="3:5" x14ac:dyDescent="0.4">
      <c r="C1239" s="31"/>
      <c r="E1239" s="30"/>
    </row>
    <row r="1240" spans="3:5" x14ac:dyDescent="0.4">
      <c r="C1240" s="31"/>
      <c r="E1240" s="30"/>
    </row>
    <row r="1241" spans="3:5" x14ac:dyDescent="0.4">
      <c r="C1241" s="31"/>
      <c r="E1241" s="30"/>
    </row>
    <row r="1242" spans="3:5" x14ac:dyDescent="0.4">
      <c r="C1242" s="31"/>
      <c r="E1242" s="30"/>
    </row>
    <row r="1243" spans="3:5" x14ac:dyDescent="0.4">
      <c r="C1243" s="31"/>
      <c r="E1243" s="30"/>
    </row>
    <row r="1244" spans="3:5" x14ac:dyDescent="0.4">
      <c r="C1244" s="31"/>
      <c r="E1244" s="30"/>
    </row>
    <row r="1245" spans="3:5" x14ac:dyDescent="0.4">
      <c r="C1245" s="31"/>
      <c r="E1245" s="30"/>
    </row>
    <row r="1246" spans="3:5" x14ac:dyDescent="0.4">
      <c r="C1246" s="31"/>
      <c r="E1246" s="30"/>
    </row>
    <row r="1247" spans="3:5" x14ac:dyDescent="0.4">
      <c r="C1247" s="31"/>
      <c r="E1247" s="30"/>
    </row>
    <row r="1248" spans="3:5" x14ac:dyDescent="0.4">
      <c r="C1248" s="31"/>
      <c r="E1248" s="30"/>
    </row>
    <row r="1249" spans="3:5" x14ac:dyDescent="0.4">
      <c r="C1249" s="31"/>
      <c r="E1249" s="30"/>
    </row>
    <row r="1250" spans="3:5" x14ac:dyDescent="0.4">
      <c r="C1250" s="31"/>
      <c r="E1250" s="30"/>
    </row>
    <row r="1251" spans="3:5" x14ac:dyDescent="0.4">
      <c r="C1251" s="31"/>
      <c r="E1251" s="30"/>
    </row>
    <row r="1252" spans="3:5" x14ac:dyDescent="0.4">
      <c r="C1252" s="31"/>
      <c r="E1252" s="30"/>
    </row>
    <row r="1253" spans="3:5" x14ac:dyDescent="0.4">
      <c r="C1253" s="31"/>
      <c r="E1253" s="30"/>
    </row>
    <row r="1254" spans="3:5" x14ac:dyDescent="0.4">
      <c r="C1254" s="31"/>
      <c r="E1254" s="30"/>
    </row>
    <row r="1255" spans="3:5" x14ac:dyDescent="0.4">
      <c r="C1255" s="31"/>
      <c r="E1255" s="30"/>
    </row>
    <row r="1256" spans="3:5" x14ac:dyDescent="0.4">
      <c r="C1256" s="31"/>
      <c r="E1256" s="30"/>
    </row>
    <row r="1257" spans="3:5" x14ac:dyDescent="0.4">
      <c r="C1257" s="31"/>
      <c r="E1257" s="30"/>
    </row>
    <row r="1258" spans="3:5" x14ac:dyDescent="0.4">
      <c r="C1258" s="31"/>
      <c r="E1258" s="30"/>
    </row>
    <row r="1259" spans="3:5" x14ac:dyDescent="0.4">
      <c r="C1259" s="31"/>
      <c r="E1259" s="30"/>
    </row>
    <row r="1260" spans="3:5" x14ac:dyDescent="0.4">
      <c r="C1260" s="31"/>
      <c r="E1260" s="30"/>
    </row>
    <row r="1261" spans="3:5" x14ac:dyDescent="0.4">
      <c r="C1261" s="31"/>
      <c r="E1261" s="30"/>
    </row>
    <row r="1262" spans="3:5" x14ac:dyDescent="0.4">
      <c r="C1262" s="31"/>
      <c r="E1262" s="30"/>
    </row>
    <row r="1263" spans="3:5" x14ac:dyDescent="0.4">
      <c r="C1263" s="31"/>
      <c r="E1263" s="30"/>
    </row>
    <row r="1264" spans="3:5" x14ac:dyDescent="0.4">
      <c r="C1264" s="31"/>
      <c r="E1264" s="30"/>
    </row>
    <row r="1265" spans="3:5" x14ac:dyDescent="0.4">
      <c r="C1265" s="31"/>
      <c r="E1265" s="30"/>
    </row>
    <row r="1266" spans="3:5" x14ac:dyDescent="0.4">
      <c r="C1266" s="31"/>
      <c r="E1266" s="30"/>
    </row>
    <row r="1267" spans="3:5" x14ac:dyDescent="0.4">
      <c r="C1267" s="31"/>
      <c r="E1267" s="30"/>
    </row>
    <row r="1268" spans="3:5" x14ac:dyDescent="0.4">
      <c r="C1268" s="31"/>
      <c r="E1268" s="30"/>
    </row>
    <row r="1269" spans="3:5" x14ac:dyDescent="0.4">
      <c r="C1269" s="31"/>
      <c r="E1269" s="30"/>
    </row>
    <row r="1270" spans="3:5" x14ac:dyDescent="0.4">
      <c r="C1270" s="31"/>
      <c r="E1270" s="30"/>
    </row>
    <row r="1271" spans="3:5" x14ac:dyDescent="0.4">
      <c r="C1271" s="31"/>
      <c r="E1271" s="30"/>
    </row>
    <row r="1272" spans="3:5" x14ac:dyDescent="0.4">
      <c r="C1272" s="31"/>
      <c r="E1272" s="30"/>
    </row>
    <row r="1273" spans="3:5" x14ac:dyDescent="0.4">
      <c r="C1273" s="31"/>
      <c r="E1273" s="30"/>
    </row>
    <row r="1274" spans="3:5" x14ac:dyDescent="0.4">
      <c r="C1274" s="31"/>
      <c r="E1274" s="30"/>
    </row>
    <row r="1275" spans="3:5" x14ac:dyDescent="0.4">
      <c r="C1275" s="31"/>
      <c r="E1275" s="30"/>
    </row>
    <row r="1276" spans="3:5" x14ac:dyDescent="0.4">
      <c r="C1276" s="31"/>
      <c r="E1276" s="30"/>
    </row>
    <row r="1277" spans="3:5" x14ac:dyDescent="0.4">
      <c r="C1277" s="31"/>
      <c r="E1277" s="30"/>
    </row>
    <row r="1278" spans="3:5" x14ac:dyDescent="0.4">
      <c r="C1278" s="31"/>
      <c r="E1278" s="30"/>
    </row>
    <row r="1279" spans="3:5" x14ac:dyDescent="0.4">
      <c r="C1279" s="31"/>
      <c r="E1279" s="30"/>
    </row>
    <row r="1280" spans="3:5" x14ac:dyDescent="0.4">
      <c r="C1280" s="31"/>
      <c r="E1280" s="30"/>
    </row>
    <row r="1281" spans="3:5" x14ac:dyDescent="0.4">
      <c r="C1281" s="31"/>
      <c r="E1281" s="30"/>
    </row>
    <row r="1282" spans="3:5" x14ac:dyDescent="0.4">
      <c r="C1282" s="31"/>
      <c r="E1282" s="30"/>
    </row>
    <row r="1283" spans="3:5" x14ac:dyDescent="0.4">
      <c r="C1283" s="31"/>
      <c r="E1283" s="30"/>
    </row>
    <row r="1284" spans="3:5" x14ac:dyDescent="0.4">
      <c r="C1284" s="31"/>
      <c r="E1284" s="30"/>
    </row>
    <row r="1285" spans="3:5" x14ac:dyDescent="0.4">
      <c r="C1285" s="31"/>
      <c r="E1285" s="30"/>
    </row>
    <row r="1286" spans="3:5" x14ac:dyDescent="0.4">
      <c r="C1286" s="31"/>
      <c r="E1286" s="30"/>
    </row>
    <row r="1287" spans="3:5" x14ac:dyDescent="0.4">
      <c r="C1287" s="31"/>
      <c r="E1287" s="30"/>
    </row>
    <row r="1288" spans="3:5" x14ac:dyDescent="0.4">
      <c r="C1288" s="31"/>
      <c r="E1288" s="30"/>
    </row>
    <row r="1289" spans="3:5" x14ac:dyDescent="0.4">
      <c r="C1289" s="31"/>
      <c r="E1289" s="30"/>
    </row>
    <row r="1290" spans="3:5" x14ac:dyDescent="0.4">
      <c r="C1290" s="31"/>
      <c r="E1290" s="30"/>
    </row>
    <row r="1291" spans="3:5" x14ac:dyDescent="0.4">
      <c r="C1291" s="31"/>
      <c r="E1291" s="30"/>
    </row>
    <row r="1292" spans="3:5" x14ac:dyDescent="0.4">
      <c r="C1292" s="31"/>
      <c r="E1292" s="30"/>
    </row>
    <row r="1293" spans="3:5" x14ac:dyDescent="0.4">
      <c r="C1293" s="31"/>
      <c r="E1293" s="30"/>
    </row>
    <row r="1294" spans="3:5" x14ac:dyDescent="0.4">
      <c r="C1294" s="31"/>
      <c r="E1294" s="30"/>
    </row>
    <row r="1295" spans="3:5" x14ac:dyDescent="0.4">
      <c r="C1295" s="31"/>
      <c r="E1295" s="30"/>
    </row>
    <row r="1296" spans="3:5" x14ac:dyDescent="0.4">
      <c r="C1296" s="31"/>
      <c r="E1296" s="30"/>
    </row>
    <row r="1297" spans="3:5" x14ac:dyDescent="0.4">
      <c r="C1297" s="31"/>
      <c r="E1297" s="30"/>
    </row>
    <row r="1298" spans="3:5" x14ac:dyDescent="0.4">
      <c r="C1298" s="31"/>
      <c r="E1298" s="30"/>
    </row>
    <row r="1299" spans="3:5" x14ac:dyDescent="0.4">
      <c r="C1299" s="31"/>
      <c r="E1299" s="30"/>
    </row>
    <row r="1300" spans="3:5" x14ac:dyDescent="0.4">
      <c r="C1300" s="31"/>
      <c r="E1300" s="30"/>
    </row>
    <row r="1301" spans="3:5" x14ac:dyDescent="0.4">
      <c r="C1301" s="31"/>
      <c r="E1301" s="30"/>
    </row>
    <row r="1302" spans="3:5" x14ac:dyDescent="0.4">
      <c r="C1302" s="31"/>
      <c r="E1302" s="30"/>
    </row>
    <row r="1303" spans="3:5" x14ac:dyDescent="0.4">
      <c r="C1303" s="31"/>
      <c r="E1303" s="30"/>
    </row>
    <row r="1304" spans="3:5" x14ac:dyDescent="0.4">
      <c r="C1304" s="31"/>
      <c r="E1304" s="30"/>
    </row>
    <row r="1305" spans="3:5" x14ac:dyDescent="0.4">
      <c r="C1305" s="31"/>
      <c r="E1305" s="30"/>
    </row>
    <row r="1306" spans="3:5" x14ac:dyDescent="0.4">
      <c r="C1306" s="31"/>
      <c r="E1306" s="30"/>
    </row>
    <row r="1307" spans="3:5" x14ac:dyDescent="0.4">
      <c r="C1307" s="31"/>
      <c r="E1307" s="30"/>
    </row>
    <row r="1308" spans="3:5" x14ac:dyDescent="0.4">
      <c r="C1308" s="31"/>
      <c r="E1308" s="30"/>
    </row>
    <row r="1309" spans="3:5" x14ac:dyDescent="0.4">
      <c r="C1309" s="31"/>
      <c r="E1309" s="30"/>
    </row>
    <row r="1310" spans="3:5" x14ac:dyDescent="0.4">
      <c r="C1310" s="31"/>
      <c r="E1310" s="30"/>
    </row>
    <row r="1311" spans="3:5" x14ac:dyDescent="0.4">
      <c r="C1311" s="31"/>
      <c r="E1311" s="30"/>
    </row>
    <row r="1312" spans="3:5" x14ac:dyDescent="0.4">
      <c r="C1312" s="31"/>
      <c r="E1312" s="30"/>
    </row>
    <row r="1313" spans="3:5" x14ac:dyDescent="0.4">
      <c r="C1313" s="31"/>
      <c r="E1313" s="30"/>
    </row>
    <row r="1314" spans="3:5" x14ac:dyDescent="0.4">
      <c r="C1314" s="31"/>
      <c r="E1314" s="30"/>
    </row>
    <row r="1315" spans="3:5" x14ac:dyDescent="0.4">
      <c r="C1315" s="31"/>
      <c r="E1315" s="30"/>
    </row>
    <row r="1316" spans="3:5" x14ac:dyDescent="0.4">
      <c r="C1316" s="31"/>
      <c r="E1316" s="30"/>
    </row>
    <row r="1317" spans="3:5" x14ac:dyDescent="0.4">
      <c r="C1317" s="31"/>
      <c r="E1317" s="30"/>
    </row>
    <row r="1318" spans="3:5" x14ac:dyDescent="0.4">
      <c r="C1318" s="31"/>
      <c r="E1318" s="30"/>
    </row>
    <row r="1319" spans="3:5" x14ac:dyDescent="0.4">
      <c r="C1319" s="31"/>
      <c r="E1319" s="30"/>
    </row>
    <row r="1320" spans="3:5" x14ac:dyDescent="0.4">
      <c r="C1320" s="31"/>
      <c r="E1320" s="30"/>
    </row>
    <row r="1321" spans="3:5" x14ac:dyDescent="0.4">
      <c r="C1321" s="31"/>
      <c r="E1321" s="30"/>
    </row>
    <row r="1322" spans="3:5" x14ac:dyDescent="0.4">
      <c r="C1322" s="31"/>
      <c r="E1322" s="30"/>
    </row>
    <row r="1323" spans="3:5" x14ac:dyDescent="0.4">
      <c r="C1323" s="31"/>
      <c r="E1323" s="30"/>
    </row>
    <row r="1324" spans="3:5" x14ac:dyDescent="0.4">
      <c r="C1324" s="31"/>
      <c r="E1324" s="30"/>
    </row>
    <row r="1325" spans="3:5" x14ac:dyDescent="0.4">
      <c r="C1325" s="31"/>
      <c r="E1325" s="30"/>
    </row>
    <row r="1326" spans="3:5" x14ac:dyDescent="0.4">
      <c r="C1326" s="31"/>
      <c r="E1326" s="30"/>
    </row>
    <row r="1327" spans="3:5" x14ac:dyDescent="0.4">
      <c r="C1327" s="31"/>
      <c r="E1327" s="30"/>
    </row>
    <row r="1328" spans="3:5" x14ac:dyDescent="0.4">
      <c r="C1328" s="31"/>
      <c r="E1328" s="30"/>
    </row>
    <row r="1329" spans="3:5" x14ac:dyDescent="0.4">
      <c r="C1329" s="31"/>
      <c r="E1329" s="30"/>
    </row>
    <row r="1330" spans="3:5" x14ac:dyDescent="0.4">
      <c r="C1330" s="31"/>
      <c r="E1330" s="30"/>
    </row>
    <row r="1331" spans="3:5" x14ac:dyDescent="0.4">
      <c r="C1331" s="31"/>
      <c r="E1331" s="30"/>
    </row>
    <row r="1332" spans="3:5" x14ac:dyDescent="0.4">
      <c r="C1332" s="31"/>
      <c r="E1332" s="30"/>
    </row>
    <row r="1333" spans="3:5" x14ac:dyDescent="0.4">
      <c r="C1333" s="31"/>
      <c r="E1333" s="30"/>
    </row>
    <row r="1334" spans="3:5" x14ac:dyDescent="0.4">
      <c r="C1334" s="31"/>
      <c r="E1334" s="30"/>
    </row>
    <row r="1335" spans="3:5" x14ac:dyDescent="0.4">
      <c r="C1335" s="31"/>
      <c r="E1335" s="30"/>
    </row>
    <row r="1336" spans="3:5" x14ac:dyDescent="0.4">
      <c r="C1336" s="31"/>
      <c r="E1336" s="30"/>
    </row>
    <row r="1337" spans="3:5" x14ac:dyDescent="0.4">
      <c r="C1337" s="31"/>
      <c r="E1337" s="30"/>
    </row>
    <row r="1338" spans="3:5" x14ac:dyDescent="0.4">
      <c r="C1338" s="31"/>
      <c r="E1338" s="30"/>
    </row>
    <row r="1339" spans="3:5" x14ac:dyDescent="0.4">
      <c r="C1339" s="31"/>
      <c r="E1339" s="30"/>
    </row>
    <row r="1340" spans="3:5" x14ac:dyDescent="0.4">
      <c r="C1340" s="31"/>
      <c r="E1340" s="30"/>
    </row>
    <row r="1341" spans="3:5" x14ac:dyDescent="0.4">
      <c r="C1341" s="31"/>
      <c r="E1341" s="30"/>
    </row>
    <row r="1342" spans="3:5" x14ac:dyDescent="0.4">
      <c r="C1342" s="31"/>
      <c r="E1342" s="30"/>
    </row>
    <row r="1343" spans="3:5" x14ac:dyDescent="0.4">
      <c r="C1343" s="31"/>
      <c r="E1343" s="30"/>
    </row>
    <row r="1344" spans="3:5" x14ac:dyDescent="0.4">
      <c r="C1344" s="31"/>
      <c r="E1344" s="30"/>
    </row>
    <row r="1345" spans="3:5" x14ac:dyDescent="0.4">
      <c r="C1345" s="31"/>
      <c r="E1345" s="30"/>
    </row>
    <row r="1346" spans="3:5" x14ac:dyDescent="0.4">
      <c r="C1346" s="31"/>
      <c r="E1346" s="30"/>
    </row>
    <row r="1347" spans="3:5" x14ac:dyDescent="0.4">
      <c r="C1347" s="31"/>
      <c r="E1347" s="30"/>
    </row>
    <row r="1348" spans="3:5" x14ac:dyDescent="0.4">
      <c r="C1348" s="31"/>
      <c r="E1348" s="30"/>
    </row>
    <row r="1349" spans="3:5" x14ac:dyDescent="0.4">
      <c r="C1349" s="31"/>
      <c r="E1349" s="30"/>
    </row>
    <row r="1350" spans="3:5" x14ac:dyDescent="0.4">
      <c r="C1350" s="31"/>
      <c r="E1350" s="30"/>
    </row>
    <row r="1351" spans="3:5" x14ac:dyDescent="0.4">
      <c r="C1351" s="31"/>
      <c r="E1351" s="30"/>
    </row>
    <row r="1352" spans="3:5" x14ac:dyDescent="0.4">
      <c r="C1352" s="31"/>
      <c r="E1352" s="30"/>
    </row>
    <row r="1353" spans="3:5" x14ac:dyDescent="0.4">
      <c r="C1353" s="31"/>
      <c r="E1353" s="30"/>
    </row>
    <row r="1354" spans="3:5" x14ac:dyDescent="0.4">
      <c r="C1354" s="31"/>
      <c r="E1354" s="30"/>
    </row>
    <row r="1355" spans="3:5" x14ac:dyDescent="0.4">
      <c r="C1355" s="31"/>
      <c r="E1355" s="30"/>
    </row>
    <row r="1356" spans="3:5" x14ac:dyDescent="0.4">
      <c r="C1356" s="31"/>
      <c r="E1356" s="30"/>
    </row>
    <row r="1357" spans="3:5" x14ac:dyDescent="0.4">
      <c r="C1357" s="31"/>
      <c r="E1357" s="30"/>
    </row>
    <row r="1358" spans="3:5" x14ac:dyDescent="0.4">
      <c r="C1358" s="31"/>
      <c r="E1358" s="30"/>
    </row>
    <row r="1359" spans="3:5" x14ac:dyDescent="0.4">
      <c r="C1359" s="31"/>
      <c r="E1359" s="30"/>
    </row>
    <row r="1360" spans="3:5" x14ac:dyDescent="0.4">
      <c r="C1360" s="31"/>
      <c r="E1360" s="30"/>
    </row>
    <row r="1361" spans="3:5" x14ac:dyDescent="0.4">
      <c r="C1361" s="31"/>
      <c r="E1361" s="30"/>
    </row>
    <row r="1362" spans="3:5" x14ac:dyDescent="0.4">
      <c r="C1362" s="31"/>
      <c r="E1362" s="30"/>
    </row>
    <row r="1363" spans="3:5" x14ac:dyDescent="0.4">
      <c r="C1363" s="31"/>
      <c r="E1363" s="30"/>
    </row>
    <row r="1364" spans="3:5" x14ac:dyDescent="0.4">
      <c r="C1364" s="31"/>
      <c r="E1364" s="30"/>
    </row>
    <row r="1365" spans="3:5" x14ac:dyDescent="0.4">
      <c r="C1365" s="31"/>
      <c r="E1365" s="30"/>
    </row>
    <row r="1366" spans="3:5" x14ac:dyDescent="0.4">
      <c r="C1366" s="31"/>
      <c r="E1366" s="30"/>
    </row>
    <row r="1367" spans="3:5" x14ac:dyDescent="0.4">
      <c r="C1367" s="31"/>
      <c r="E1367" s="30"/>
    </row>
    <row r="1368" spans="3:5" x14ac:dyDescent="0.4">
      <c r="C1368" s="31"/>
      <c r="E1368" s="30"/>
    </row>
    <row r="1369" spans="3:5" x14ac:dyDescent="0.4">
      <c r="C1369" s="31"/>
      <c r="E1369" s="30"/>
    </row>
    <row r="1370" spans="3:5" x14ac:dyDescent="0.4">
      <c r="C1370" s="31"/>
      <c r="E1370" s="30"/>
    </row>
    <row r="1371" spans="3:5" x14ac:dyDescent="0.4">
      <c r="C1371" s="31"/>
      <c r="E1371" s="30"/>
    </row>
    <row r="1372" spans="3:5" x14ac:dyDescent="0.4">
      <c r="C1372" s="31"/>
      <c r="E1372" s="30"/>
    </row>
    <row r="1373" spans="3:5" x14ac:dyDescent="0.4">
      <c r="C1373" s="31"/>
      <c r="E1373" s="30"/>
    </row>
    <row r="1374" spans="3:5" x14ac:dyDescent="0.4">
      <c r="C1374" s="31"/>
      <c r="E1374" s="30"/>
    </row>
    <row r="1375" spans="3:5" x14ac:dyDescent="0.4">
      <c r="C1375" s="31"/>
      <c r="E1375" s="30"/>
    </row>
    <row r="1376" spans="3:5" x14ac:dyDescent="0.4">
      <c r="C1376" s="31"/>
      <c r="E1376" s="30"/>
    </row>
    <row r="1377" spans="3:5" x14ac:dyDescent="0.4">
      <c r="C1377" s="31"/>
      <c r="E1377" s="30"/>
    </row>
    <row r="1378" spans="3:5" x14ac:dyDescent="0.4">
      <c r="C1378" s="31"/>
      <c r="E1378" s="30"/>
    </row>
    <row r="1379" spans="3:5" x14ac:dyDescent="0.4">
      <c r="C1379" s="31"/>
      <c r="E1379" s="30"/>
    </row>
    <row r="1380" spans="3:5" x14ac:dyDescent="0.4">
      <c r="C1380" s="31"/>
      <c r="E1380" s="30"/>
    </row>
    <row r="1381" spans="3:5" x14ac:dyDescent="0.4">
      <c r="C1381" s="31"/>
      <c r="E1381" s="30"/>
    </row>
    <row r="1382" spans="3:5" x14ac:dyDescent="0.4">
      <c r="C1382" s="31"/>
      <c r="E1382" s="30"/>
    </row>
    <row r="1383" spans="3:5" x14ac:dyDescent="0.4">
      <c r="C1383" s="31"/>
      <c r="E1383" s="30"/>
    </row>
    <row r="1384" spans="3:5" x14ac:dyDescent="0.4">
      <c r="C1384" s="31"/>
      <c r="E1384" s="30"/>
    </row>
    <row r="1385" spans="3:5" x14ac:dyDescent="0.4">
      <c r="C1385" s="31"/>
      <c r="E1385" s="30"/>
    </row>
    <row r="1386" spans="3:5" x14ac:dyDescent="0.4">
      <c r="C1386" s="31"/>
      <c r="E1386" s="30"/>
    </row>
    <row r="1387" spans="3:5" x14ac:dyDescent="0.4">
      <c r="C1387" s="31"/>
      <c r="E1387" s="30"/>
    </row>
    <row r="1388" spans="3:5" x14ac:dyDescent="0.4">
      <c r="C1388" s="31"/>
      <c r="E1388" s="30"/>
    </row>
    <row r="1389" spans="3:5" x14ac:dyDescent="0.4">
      <c r="C1389" s="31"/>
      <c r="E1389" s="30"/>
    </row>
    <row r="1390" spans="3:5" x14ac:dyDescent="0.4">
      <c r="C1390" s="31"/>
      <c r="E1390" s="30"/>
    </row>
    <row r="1391" spans="3:5" x14ac:dyDescent="0.4">
      <c r="C1391" s="31"/>
      <c r="E1391" s="30"/>
    </row>
    <row r="1392" spans="3:5" x14ac:dyDescent="0.4">
      <c r="C1392" s="31"/>
      <c r="E1392" s="30"/>
    </row>
    <row r="1393" spans="3:5" x14ac:dyDescent="0.4">
      <c r="C1393" s="31"/>
      <c r="E1393" s="30"/>
    </row>
    <row r="1394" spans="3:5" x14ac:dyDescent="0.4">
      <c r="C1394" s="31"/>
      <c r="E1394" s="30"/>
    </row>
    <row r="1395" spans="3:5" x14ac:dyDescent="0.4">
      <c r="C1395" s="31"/>
      <c r="E1395" s="30"/>
    </row>
    <row r="1396" spans="3:5" x14ac:dyDescent="0.4">
      <c r="C1396" s="31"/>
      <c r="E1396" s="30"/>
    </row>
    <row r="1397" spans="3:5" x14ac:dyDescent="0.4">
      <c r="C1397" s="31"/>
      <c r="E1397" s="30"/>
    </row>
    <row r="1398" spans="3:5" x14ac:dyDescent="0.4">
      <c r="C1398" s="31"/>
      <c r="E1398" s="30"/>
    </row>
    <row r="1399" spans="3:5" x14ac:dyDescent="0.4">
      <c r="C1399" s="31"/>
      <c r="E1399" s="30"/>
    </row>
    <row r="1400" spans="3:5" x14ac:dyDescent="0.4">
      <c r="C1400" s="31"/>
      <c r="E1400" s="30"/>
    </row>
    <row r="1401" spans="3:5" x14ac:dyDescent="0.4">
      <c r="C1401" s="31"/>
      <c r="E1401" s="30"/>
    </row>
    <row r="1402" spans="3:5" x14ac:dyDescent="0.4">
      <c r="C1402" s="31"/>
      <c r="E1402" s="30"/>
    </row>
    <row r="1403" spans="3:5" x14ac:dyDescent="0.4">
      <c r="C1403" s="31"/>
      <c r="E1403" s="30"/>
    </row>
    <row r="1404" spans="3:5" x14ac:dyDescent="0.4">
      <c r="C1404" s="31"/>
      <c r="E1404" s="30"/>
    </row>
    <row r="1405" spans="3:5" x14ac:dyDescent="0.4">
      <c r="C1405" s="31"/>
      <c r="E1405" s="30"/>
    </row>
    <row r="1406" spans="3:5" x14ac:dyDescent="0.4">
      <c r="C1406" s="31"/>
      <c r="E1406" s="30"/>
    </row>
    <row r="1407" spans="3:5" x14ac:dyDescent="0.4">
      <c r="C1407" s="31"/>
      <c r="E1407" s="30"/>
    </row>
    <row r="1408" spans="3:5" x14ac:dyDescent="0.4">
      <c r="C1408" s="31"/>
      <c r="E1408" s="30"/>
    </row>
    <row r="1409" spans="3:5" x14ac:dyDescent="0.4">
      <c r="C1409" s="31"/>
      <c r="E1409" s="30"/>
    </row>
    <row r="1410" spans="3:5" x14ac:dyDescent="0.4">
      <c r="C1410" s="31"/>
      <c r="E1410" s="30"/>
    </row>
    <row r="1411" spans="3:5" x14ac:dyDescent="0.4">
      <c r="C1411" s="31"/>
      <c r="E1411" s="30"/>
    </row>
    <row r="1412" spans="3:5" x14ac:dyDescent="0.4">
      <c r="C1412" s="31"/>
      <c r="E1412" s="30"/>
    </row>
    <row r="1413" spans="3:5" x14ac:dyDescent="0.4">
      <c r="C1413" s="31"/>
      <c r="E1413" s="30"/>
    </row>
    <row r="1414" spans="3:5" x14ac:dyDescent="0.4">
      <c r="C1414" s="31"/>
      <c r="E1414" s="30"/>
    </row>
    <row r="1415" spans="3:5" x14ac:dyDescent="0.4">
      <c r="C1415" s="31"/>
      <c r="E1415" s="30"/>
    </row>
    <row r="1416" spans="3:5" x14ac:dyDescent="0.4">
      <c r="C1416" s="31"/>
      <c r="E1416" s="30"/>
    </row>
    <row r="1417" spans="3:5" x14ac:dyDescent="0.4">
      <c r="C1417" s="31"/>
      <c r="E1417" s="30"/>
    </row>
    <row r="1418" spans="3:5" x14ac:dyDescent="0.4">
      <c r="C1418" s="31"/>
      <c r="E1418" s="30"/>
    </row>
    <row r="1419" spans="3:5" x14ac:dyDescent="0.4">
      <c r="C1419" s="31"/>
      <c r="E1419" s="30"/>
    </row>
    <row r="1420" spans="3:5" x14ac:dyDescent="0.4">
      <c r="C1420" s="31"/>
      <c r="E1420" s="30"/>
    </row>
    <row r="1421" spans="3:5" x14ac:dyDescent="0.4">
      <c r="C1421" s="31"/>
      <c r="E1421" s="30"/>
    </row>
    <row r="1422" spans="3:5" x14ac:dyDescent="0.4">
      <c r="C1422" s="31"/>
      <c r="E1422" s="30"/>
    </row>
    <row r="1423" spans="3:5" x14ac:dyDescent="0.4">
      <c r="C1423" s="31"/>
      <c r="E1423" s="30"/>
    </row>
    <row r="1424" spans="3:5" x14ac:dyDescent="0.4">
      <c r="C1424" s="31"/>
      <c r="E1424" s="30"/>
    </row>
    <row r="1425" spans="3:5" x14ac:dyDescent="0.4">
      <c r="C1425" s="31"/>
      <c r="E1425" s="30"/>
    </row>
    <row r="1426" spans="3:5" x14ac:dyDescent="0.4">
      <c r="C1426" s="31"/>
      <c r="E1426" s="30"/>
    </row>
    <row r="1427" spans="3:5" x14ac:dyDescent="0.4">
      <c r="C1427" s="31"/>
      <c r="E1427" s="30"/>
    </row>
    <row r="1428" spans="3:5" x14ac:dyDescent="0.4">
      <c r="C1428" s="31"/>
      <c r="E1428" s="30"/>
    </row>
    <row r="1429" spans="3:5" x14ac:dyDescent="0.4">
      <c r="C1429" s="31"/>
      <c r="E1429" s="30"/>
    </row>
    <row r="1430" spans="3:5" x14ac:dyDescent="0.4">
      <c r="C1430" s="31"/>
      <c r="E1430" s="30"/>
    </row>
    <row r="1431" spans="3:5" x14ac:dyDescent="0.4">
      <c r="C1431" s="31"/>
      <c r="E1431" s="30"/>
    </row>
    <row r="1432" spans="3:5" x14ac:dyDescent="0.4">
      <c r="C1432" s="31"/>
      <c r="E1432" s="30"/>
    </row>
    <row r="1433" spans="3:5" x14ac:dyDescent="0.4">
      <c r="C1433" s="31"/>
      <c r="E1433" s="30"/>
    </row>
    <row r="1434" spans="3:5" x14ac:dyDescent="0.4">
      <c r="C1434" s="31"/>
      <c r="E1434" s="30"/>
    </row>
    <row r="1435" spans="3:5" x14ac:dyDescent="0.4">
      <c r="C1435" s="31"/>
      <c r="E1435" s="30"/>
    </row>
    <row r="1436" spans="3:5" x14ac:dyDescent="0.4">
      <c r="C1436" s="31"/>
      <c r="E1436" s="30"/>
    </row>
    <row r="1437" spans="3:5" x14ac:dyDescent="0.4">
      <c r="C1437" s="31"/>
      <c r="E1437" s="30"/>
    </row>
    <row r="1438" spans="3:5" x14ac:dyDescent="0.4">
      <c r="C1438" s="31"/>
      <c r="E1438" s="30"/>
    </row>
    <row r="1439" spans="3:5" x14ac:dyDescent="0.4">
      <c r="C1439" s="31"/>
      <c r="E1439" s="30"/>
    </row>
    <row r="1440" spans="3:5" x14ac:dyDescent="0.4">
      <c r="C1440" s="31"/>
      <c r="E1440" s="30"/>
    </row>
    <row r="1441" spans="3:5" x14ac:dyDescent="0.4">
      <c r="C1441" s="31"/>
      <c r="E1441" s="30"/>
    </row>
    <row r="1442" spans="3:5" x14ac:dyDescent="0.4">
      <c r="C1442" s="31"/>
      <c r="E1442" s="30"/>
    </row>
    <row r="1443" spans="3:5" x14ac:dyDescent="0.4">
      <c r="C1443" s="31"/>
      <c r="E1443" s="30"/>
    </row>
    <row r="1444" spans="3:5" x14ac:dyDescent="0.4">
      <c r="C1444" s="31"/>
      <c r="E1444" s="30"/>
    </row>
    <row r="1445" spans="3:5" x14ac:dyDescent="0.4">
      <c r="C1445" s="31"/>
      <c r="E1445" s="30"/>
    </row>
    <row r="1446" spans="3:5" x14ac:dyDescent="0.4">
      <c r="C1446" s="31"/>
      <c r="E1446" s="30"/>
    </row>
    <row r="1447" spans="3:5" x14ac:dyDescent="0.4">
      <c r="C1447" s="31"/>
      <c r="E1447" s="30"/>
    </row>
    <row r="1448" spans="3:5" x14ac:dyDescent="0.4">
      <c r="C1448" s="31"/>
      <c r="E1448" s="30"/>
    </row>
    <row r="1449" spans="3:5" x14ac:dyDescent="0.4">
      <c r="C1449" s="31"/>
      <c r="E1449" s="30"/>
    </row>
    <row r="1450" spans="3:5" x14ac:dyDescent="0.4">
      <c r="C1450" s="31"/>
      <c r="E1450" s="30"/>
    </row>
    <row r="1451" spans="3:5" x14ac:dyDescent="0.4">
      <c r="C1451" s="31"/>
      <c r="E1451" s="30"/>
    </row>
    <row r="1452" spans="3:5" x14ac:dyDescent="0.4">
      <c r="C1452" s="31"/>
      <c r="E1452" s="30"/>
    </row>
    <row r="1453" spans="3:5" x14ac:dyDescent="0.4">
      <c r="C1453" s="31"/>
      <c r="E1453" s="30"/>
    </row>
    <row r="1454" spans="3:5" x14ac:dyDescent="0.4">
      <c r="C1454" s="31"/>
      <c r="E1454" s="30"/>
    </row>
    <row r="1455" spans="3:5" x14ac:dyDescent="0.4">
      <c r="C1455" s="31"/>
      <c r="E1455" s="30"/>
    </row>
    <row r="1456" spans="3:5" x14ac:dyDescent="0.4">
      <c r="C1456" s="31"/>
      <c r="E1456" s="30"/>
    </row>
    <row r="1457" spans="3:5" x14ac:dyDescent="0.4">
      <c r="C1457" s="31"/>
      <c r="E1457" s="30"/>
    </row>
    <row r="1458" spans="3:5" x14ac:dyDescent="0.4">
      <c r="C1458" s="31"/>
      <c r="E1458" s="30"/>
    </row>
    <row r="1459" spans="3:5" x14ac:dyDescent="0.4">
      <c r="C1459" s="31"/>
      <c r="E1459" s="30"/>
    </row>
    <row r="1460" spans="3:5" x14ac:dyDescent="0.4">
      <c r="C1460" s="31"/>
      <c r="E1460" s="30"/>
    </row>
    <row r="1461" spans="3:5" x14ac:dyDescent="0.4">
      <c r="C1461" s="31"/>
      <c r="E1461" s="30"/>
    </row>
    <row r="1462" spans="3:5" x14ac:dyDescent="0.4">
      <c r="C1462" s="31"/>
      <c r="E1462" s="30"/>
    </row>
    <row r="1463" spans="3:5" x14ac:dyDescent="0.4">
      <c r="C1463" s="31"/>
      <c r="E1463" s="30"/>
    </row>
    <row r="1464" spans="3:5" x14ac:dyDescent="0.4">
      <c r="C1464" s="31"/>
      <c r="E1464" s="30"/>
    </row>
    <row r="1465" spans="3:5" x14ac:dyDescent="0.4">
      <c r="C1465" s="31"/>
      <c r="E1465" s="30"/>
    </row>
    <row r="1466" spans="3:5" x14ac:dyDescent="0.4">
      <c r="C1466" s="31"/>
      <c r="E1466" s="30"/>
    </row>
    <row r="1467" spans="3:5" x14ac:dyDescent="0.4">
      <c r="C1467" s="31"/>
      <c r="E1467" s="30"/>
    </row>
    <row r="1468" spans="3:5" x14ac:dyDescent="0.4">
      <c r="C1468" s="31"/>
      <c r="E1468" s="30"/>
    </row>
    <row r="1469" spans="3:5" x14ac:dyDescent="0.4">
      <c r="C1469" s="31"/>
      <c r="E1469" s="30"/>
    </row>
    <row r="1470" spans="3:5" x14ac:dyDescent="0.4">
      <c r="C1470" s="31"/>
      <c r="E1470" s="30"/>
    </row>
    <row r="1471" spans="3:5" x14ac:dyDescent="0.4">
      <c r="C1471" s="31"/>
      <c r="E1471" s="30"/>
    </row>
    <row r="1472" spans="3:5" x14ac:dyDescent="0.4">
      <c r="C1472" s="31"/>
      <c r="E1472" s="30"/>
    </row>
    <row r="1473" spans="3:5" x14ac:dyDescent="0.4">
      <c r="C1473" s="31"/>
      <c r="E1473" s="30"/>
    </row>
    <row r="1474" spans="3:5" x14ac:dyDescent="0.4">
      <c r="C1474" s="31"/>
      <c r="E1474" s="30"/>
    </row>
    <row r="1475" spans="3:5" x14ac:dyDescent="0.4">
      <c r="C1475" s="31"/>
      <c r="E1475" s="30"/>
    </row>
    <row r="1476" spans="3:5" x14ac:dyDescent="0.4">
      <c r="C1476" s="31"/>
      <c r="E1476" s="30"/>
    </row>
    <row r="1477" spans="3:5" x14ac:dyDescent="0.4">
      <c r="C1477" s="31"/>
      <c r="E1477" s="30"/>
    </row>
    <row r="1478" spans="3:5" x14ac:dyDescent="0.4">
      <c r="C1478" s="31"/>
      <c r="E1478" s="30"/>
    </row>
    <row r="1479" spans="3:5" x14ac:dyDescent="0.4">
      <c r="C1479" s="31"/>
      <c r="E1479" s="30"/>
    </row>
    <row r="1480" spans="3:5" x14ac:dyDescent="0.4">
      <c r="C1480" s="31"/>
      <c r="E1480" s="30"/>
    </row>
    <row r="1481" spans="3:5" x14ac:dyDescent="0.4">
      <c r="C1481" s="31"/>
      <c r="E1481" s="30"/>
    </row>
    <row r="1482" spans="3:5" x14ac:dyDescent="0.4">
      <c r="C1482" s="31"/>
      <c r="E1482" s="30"/>
    </row>
    <row r="1483" spans="3:5" x14ac:dyDescent="0.4">
      <c r="C1483" s="31"/>
      <c r="E1483" s="30"/>
    </row>
    <row r="1484" spans="3:5" x14ac:dyDescent="0.4">
      <c r="C1484" s="31"/>
      <c r="E1484" s="30"/>
    </row>
    <row r="1485" spans="3:5" x14ac:dyDescent="0.4">
      <c r="C1485" s="31"/>
      <c r="E1485" s="30"/>
    </row>
    <row r="1486" spans="3:5" x14ac:dyDescent="0.4">
      <c r="C1486" s="31"/>
      <c r="E1486" s="30"/>
    </row>
    <row r="1487" spans="3:5" x14ac:dyDescent="0.4">
      <c r="C1487" s="31"/>
      <c r="E1487" s="30"/>
    </row>
    <row r="1488" spans="3:5" x14ac:dyDescent="0.4">
      <c r="C1488" s="31"/>
      <c r="E1488" s="30"/>
    </row>
    <row r="1489" spans="3:5" x14ac:dyDescent="0.4">
      <c r="C1489" s="31"/>
      <c r="E1489" s="30"/>
    </row>
    <row r="1490" spans="3:5" x14ac:dyDescent="0.4">
      <c r="C1490" s="31"/>
      <c r="E1490" s="30"/>
    </row>
    <row r="1491" spans="3:5" x14ac:dyDescent="0.4">
      <c r="C1491" s="31"/>
      <c r="E1491" s="30"/>
    </row>
    <row r="1492" spans="3:5" x14ac:dyDescent="0.4">
      <c r="C1492" s="31"/>
      <c r="E1492" s="30"/>
    </row>
    <row r="1493" spans="3:5" x14ac:dyDescent="0.4">
      <c r="C1493" s="31"/>
      <c r="E1493" s="30"/>
    </row>
    <row r="1494" spans="3:5" x14ac:dyDescent="0.4">
      <c r="C1494" s="31"/>
      <c r="E1494" s="30"/>
    </row>
    <row r="1495" spans="3:5" x14ac:dyDescent="0.4">
      <c r="C1495" s="31"/>
      <c r="E1495" s="30"/>
    </row>
    <row r="1496" spans="3:5" x14ac:dyDescent="0.4">
      <c r="C1496" s="31"/>
      <c r="E1496" s="30"/>
    </row>
    <row r="1497" spans="3:5" x14ac:dyDescent="0.4">
      <c r="C1497" s="31"/>
      <c r="E1497" s="30"/>
    </row>
    <row r="1498" spans="3:5" x14ac:dyDescent="0.4">
      <c r="C1498" s="31"/>
      <c r="E1498" s="30"/>
    </row>
    <row r="1499" spans="3:5" x14ac:dyDescent="0.4">
      <c r="C1499" s="31"/>
      <c r="E1499" s="30"/>
    </row>
    <row r="1500" spans="3:5" x14ac:dyDescent="0.4">
      <c r="C1500" s="31"/>
      <c r="E1500" s="30"/>
    </row>
    <row r="1501" spans="3:5" x14ac:dyDescent="0.4">
      <c r="C1501" s="31"/>
      <c r="E1501" s="30"/>
    </row>
    <row r="1502" spans="3:5" x14ac:dyDescent="0.4">
      <c r="C1502" s="31"/>
      <c r="E1502" s="30"/>
    </row>
    <row r="1503" spans="3:5" x14ac:dyDescent="0.4">
      <c r="C1503" s="31"/>
      <c r="E1503" s="30"/>
    </row>
    <row r="1504" spans="3:5" x14ac:dyDescent="0.4">
      <c r="C1504" s="31"/>
      <c r="E1504" s="30"/>
    </row>
    <row r="1505" spans="3:5" x14ac:dyDescent="0.4">
      <c r="C1505" s="31"/>
      <c r="E1505" s="30"/>
    </row>
    <row r="1506" spans="3:5" x14ac:dyDescent="0.4">
      <c r="C1506" s="31"/>
      <c r="E1506" s="30"/>
    </row>
    <row r="1507" spans="3:5" x14ac:dyDescent="0.4">
      <c r="C1507" s="31"/>
      <c r="E1507" s="30"/>
    </row>
    <row r="1508" spans="3:5" x14ac:dyDescent="0.4">
      <c r="C1508" s="31"/>
      <c r="E1508" s="30"/>
    </row>
    <row r="1509" spans="3:5" x14ac:dyDescent="0.4">
      <c r="C1509" s="31"/>
      <c r="E1509" s="30"/>
    </row>
    <row r="1510" spans="3:5" x14ac:dyDescent="0.4">
      <c r="C1510" s="31"/>
      <c r="E1510" s="30"/>
    </row>
    <row r="1511" spans="3:5" x14ac:dyDescent="0.4">
      <c r="C1511" s="31"/>
      <c r="E1511" s="30"/>
    </row>
    <row r="1512" spans="3:5" x14ac:dyDescent="0.4">
      <c r="C1512" s="31"/>
      <c r="E1512" s="30"/>
    </row>
    <row r="1513" spans="3:5" x14ac:dyDescent="0.4">
      <c r="C1513" s="31"/>
      <c r="E1513" s="30"/>
    </row>
    <row r="1514" spans="3:5" x14ac:dyDescent="0.4">
      <c r="C1514" s="31"/>
      <c r="E1514" s="30"/>
    </row>
    <row r="1515" spans="3:5" x14ac:dyDescent="0.4">
      <c r="C1515" s="31"/>
      <c r="E1515" s="30"/>
    </row>
    <row r="1516" spans="3:5" x14ac:dyDescent="0.4">
      <c r="C1516" s="31"/>
      <c r="E1516" s="30"/>
    </row>
    <row r="1517" spans="3:5" x14ac:dyDescent="0.4">
      <c r="C1517" s="31"/>
      <c r="E1517" s="30"/>
    </row>
    <row r="1518" spans="3:5" x14ac:dyDescent="0.4">
      <c r="C1518" s="31"/>
      <c r="E1518" s="30"/>
    </row>
    <row r="1519" spans="3:5" x14ac:dyDescent="0.4">
      <c r="C1519" s="31"/>
      <c r="E1519" s="30"/>
    </row>
    <row r="1520" spans="3:5" x14ac:dyDescent="0.4">
      <c r="C1520" s="31"/>
      <c r="E1520" s="30"/>
    </row>
    <row r="1521" spans="3:5" x14ac:dyDescent="0.4">
      <c r="C1521" s="31"/>
      <c r="E1521" s="30"/>
    </row>
    <row r="1522" spans="3:5" x14ac:dyDescent="0.4">
      <c r="C1522" s="31"/>
      <c r="E1522" s="30"/>
    </row>
    <row r="1523" spans="3:5" x14ac:dyDescent="0.4">
      <c r="C1523" s="31"/>
      <c r="E1523" s="30"/>
    </row>
    <row r="1524" spans="3:5" x14ac:dyDescent="0.4">
      <c r="C1524" s="31"/>
      <c r="E1524" s="30"/>
    </row>
    <row r="1525" spans="3:5" x14ac:dyDescent="0.4">
      <c r="C1525" s="31"/>
      <c r="E1525" s="30"/>
    </row>
    <row r="1526" spans="3:5" x14ac:dyDescent="0.4">
      <c r="C1526" s="31"/>
      <c r="E1526" s="30"/>
    </row>
    <row r="1527" spans="3:5" x14ac:dyDescent="0.4">
      <c r="C1527" s="31"/>
      <c r="E1527" s="30"/>
    </row>
    <row r="1528" spans="3:5" x14ac:dyDescent="0.4">
      <c r="C1528" s="31"/>
      <c r="E1528" s="30"/>
    </row>
    <row r="1529" spans="3:5" x14ac:dyDescent="0.4">
      <c r="C1529" s="31"/>
      <c r="E1529" s="30"/>
    </row>
    <row r="1530" spans="3:5" x14ac:dyDescent="0.4">
      <c r="C1530" s="31"/>
      <c r="E1530" s="30"/>
    </row>
    <row r="1531" spans="3:5" x14ac:dyDescent="0.4">
      <c r="C1531" s="31"/>
      <c r="E1531" s="30"/>
    </row>
    <row r="1532" spans="3:5" x14ac:dyDescent="0.4">
      <c r="C1532" s="31"/>
      <c r="E1532" s="30"/>
    </row>
    <row r="1533" spans="3:5" x14ac:dyDescent="0.4">
      <c r="C1533" s="31"/>
      <c r="E1533" s="30"/>
    </row>
    <row r="1534" spans="3:5" x14ac:dyDescent="0.4">
      <c r="C1534" s="31"/>
      <c r="E1534" s="30"/>
    </row>
    <row r="1535" spans="3:5" x14ac:dyDescent="0.4">
      <c r="C1535" s="31"/>
      <c r="E1535" s="30"/>
    </row>
    <row r="1536" spans="3:5" x14ac:dyDescent="0.4">
      <c r="C1536" s="31"/>
      <c r="E1536" s="30"/>
    </row>
    <row r="1537" spans="3:5" x14ac:dyDescent="0.4">
      <c r="C1537" s="31"/>
      <c r="E1537" s="30"/>
    </row>
    <row r="1538" spans="3:5" x14ac:dyDescent="0.4">
      <c r="C1538" s="31"/>
      <c r="E1538" s="30"/>
    </row>
    <row r="1539" spans="3:5" x14ac:dyDescent="0.4">
      <c r="C1539" s="31"/>
      <c r="E1539" s="30"/>
    </row>
    <row r="1540" spans="3:5" x14ac:dyDescent="0.4">
      <c r="C1540" s="31"/>
      <c r="E1540" s="30"/>
    </row>
    <row r="1541" spans="3:5" x14ac:dyDescent="0.4">
      <c r="C1541" s="31"/>
      <c r="E1541" s="30"/>
    </row>
    <row r="1542" spans="3:5" x14ac:dyDescent="0.4">
      <c r="C1542" s="31"/>
      <c r="E1542" s="30"/>
    </row>
    <row r="1543" spans="3:5" x14ac:dyDescent="0.4">
      <c r="C1543" s="31"/>
      <c r="E1543" s="30"/>
    </row>
    <row r="1544" spans="3:5" x14ac:dyDescent="0.4">
      <c r="C1544" s="31"/>
      <c r="E1544" s="30"/>
    </row>
    <row r="1545" spans="3:5" x14ac:dyDescent="0.4">
      <c r="C1545" s="31"/>
      <c r="E1545" s="30"/>
    </row>
    <row r="1546" spans="3:5" x14ac:dyDescent="0.4">
      <c r="C1546" s="31"/>
      <c r="E1546" s="30"/>
    </row>
    <row r="1547" spans="3:5" x14ac:dyDescent="0.4">
      <c r="C1547" s="31"/>
      <c r="E1547" s="30"/>
    </row>
    <row r="1548" spans="3:5" x14ac:dyDescent="0.4">
      <c r="C1548" s="31"/>
      <c r="E1548" s="30"/>
    </row>
    <row r="1549" spans="3:5" x14ac:dyDescent="0.4">
      <c r="C1549" s="31"/>
      <c r="E1549" s="30"/>
    </row>
    <row r="1550" spans="3:5" x14ac:dyDescent="0.4">
      <c r="C1550" s="31"/>
      <c r="E1550" s="30"/>
    </row>
    <row r="1551" spans="3:5" x14ac:dyDescent="0.4">
      <c r="C1551" s="31"/>
      <c r="E1551" s="30"/>
    </row>
    <row r="1552" spans="3:5" x14ac:dyDescent="0.4">
      <c r="C1552" s="31"/>
      <c r="E1552" s="30"/>
    </row>
    <row r="1553" spans="3:5" x14ac:dyDescent="0.4">
      <c r="C1553" s="31"/>
      <c r="E1553" s="30"/>
    </row>
    <row r="1554" spans="3:5" x14ac:dyDescent="0.4">
      <c r="C1554" s="31"/>
      <c r="E1554" s="30"/>
    </row>
    <row r="1555" spans="3:5" x14ac:dyDescent="0.4">
      <c r="C1555" s="31"/>
      <c r="E1555" s="30"/>
    </row>
    <row r="1556" spans="3:5" x14ac:dyDescent="0.4">
      <c r="C1556" s="31"/>
      <c r="E1556" s="30"/>
    </row>
    <row r="1557" spans="3:5" x14ac:dyDescent="0.4">
      <c r="C1557" s="31"/>
      <c r="E1557" s="30"/>
    </row>
    <row r="1558" spans="3:5" x14ac:dyDescent="0.4">
      <c r="C1558" s="31"/>
      <c r="E1558" s="30"/>
    </row>
    <row r="1559" spans="3:5" x14ac:dyDescent="0.4">
      <c r="C1559" s="31"/>
      <c r="E1559" s="30"/>
    </row>
    <row r="1560" spans="3:5" x14ac:dyDescent="0.4">
      <c r="C1560" s="31"/>
      <c r="E1560" s="30"/>
    </row>
    <row r="1561" spans="3:5" x14ac:dyDescent="0.4">
      <c r="C1561" s="31"/>
      <c r="E1561" s="30"/>
    </row>
    <row r="1562" spans="3:5" x14ac:dyDescent="0.4">
      <c r="C1562" s="31"/>
      <c r="E1562" s="30"/>
    </row>
    <row r="1563" spans="3:5" x14ac:dyDescent="0.4">
      <c r="C1563" s="31"/>
      <c r="E1563" s="30"/>
    </row>
    <row r="1564" spans="3:5" x14ac:dyDescent="0.4">
      <c r="C1564" s="31"/>
      <c r="E1564" s="30"/>
    </row>
    <row r="1565" spans="3:5" x14ac:dyDescent="0.4">
      <c r="C1565" s="31"/>
      <c r="E1565" s="30"/>
    </row>
    <row r="1566" spans="3:5" x14ac:dyDescent="0.4">
      <c r="C1566" s="31"/>
      <c r="E1566" s="30"/>
    </row>
    <row r="1567" spans="3:5" x14ac:dyDescent="0.4">
      <c r="C1567" s="31"/>
      <c r="E1567" s="30"/>
    </row>
    <row r="1568" spans="3:5" x14ac:dyDescent="0.4">
      <c r="C1568" s="31"/>
      <c r="E1568" s="30"/>
    </row>
    <row r="1569" spans="3:5" x14ac:dyDescent="0.4">
      <c r="C1569" s="31"/>
      <c r="E1569" s="30"/>
    </row>
    <row r="1570" spans="3:5" x14ac:dyDescent="0.4">
      <c r="C1570" s="31"/>
      <c r="E1570" s="30"/>
    </row>
    <row r="1571" spans="3:5" x14ac:dyDescent="0.4">
      <c r="C1571" s="31"/>
      <c r="E1571" s="30"/>
    </row>
    <row r="1572" spans="3:5" x14ac:dyDescent="0.4">
      <c r="C1572" s="31"/>
      <c r="E1572" s="30"/>
    </row>
    <row r="1573" spans="3:5" x14ac:dyDescent="0.4">
      <c r="C1573" s="31"/>
      <c r="E1573" s="30"/>
    </row>
    <row r="1574" spans="3:5" x14ac:dyDescent="0.4">
      <c r="C1574" s="31"/>
      <c r="E1574" s="30"/>
    </row>
    <row r="1575" spans="3:5" x14ac:dyDescent="0.4">
      <c r="C1575" s="31"/>
      <c r="E1575" s="30"/>
    </row>
    <row r="1576" spans="3:5" x14ac:dyDescent="0.4">
      <c r="C1576" s="31"/>
      <c r="E1576" s="30"/>
    </row>
    <row r="1577" spans="3:5" x14ac:dyDescent="0.4">
      <c r="C1577" s="31"/>
      <c r="E1577" s="30"/>
    </row>
    <row r="1578" spans="3:5" x14ac:dyDescent="0.4">
      <c r="C1578" s="31"/>
      <c r="E1578" s="30"/>
    </row>
    <row r="1579" spans="3:5" x14ac:dyDescent="0.4">
      <c r="C1579" s="31"/>
      <c r="E1579" s="30"/>
    </row>
    <row r="1580" spans="3:5" x14ac:dyDescent="0.4">
      <c r="C1580" s="31"/>
      <c r="E1580" s="30"/>
    </row>
    <row r="1581" spans="3:5" x14ac:dyDescent="0.4">
      <c r="C1581" s="31"/>
      <c r="E1581" s="30"/>
    </row>
    <row r="1582" spans="3:5" x14ac:dyDescent="0.4">
      <c r="C1582" s="31"/>
      <c r="E1582" s="30"/>
    </row>
    <row r="1583" spans="3:5" x14ac:dyDescent="0.4">
      <c r="C1583" s="31"/>
      <c r="E1583" s="30"/>
    </row>
    <row r="1584" spans="3:5" x14ac:dyDescent="0.4">
      <c r="C1584" s="31"/>
      <c r="E1584" s="30"/>
    </row>
    <row r="1585" spans="3:5" x14ac:dyDescent="0.4">
      <c r="C1585" s="31"/>
      <c r="E1585" s="30"/>
    </row>
    <row r="1586" spans="3:5" x14ac:dyDescent="0.4">
      <c r="C1586" s="31"/>
      <c r="E1586" s="30"/>
    </row>
    <row r="1587" spans="3:5" x14ac:dyDescent="0.4">
      <c r="C1587" s="31"/>
      <c r="E1587" s="30"/>
    </row>
    <row r="1588" spans="3:5" x14ac:dyDescent="0.4">
      <c r="C1588" s="31"/>
      <c r="E1588" s="30"/>
    </row>
    <row r="1589" spans="3:5" x14ac:dyDescent="0.4">
      <c r="C1589" s="31"/>
      <c r="E1589" s="30"/>
    </row>
    <row r="1590" spans="3:5" x14ac:dyDescent="0.4">
      <c r="C1590" s="31"/>
      <c r="E1590" s="30"/>
    </row>
    <row r="1591" spans="3:5" x14ac:dyDescent="0.4">
      <c r="C1591" s="31"/>
      <c r="E1591" s="30"/>
    </row>
    <row r="1592" spans="3:5" x14ac:dyDescent="0.4">
      <c r="C1592" s="31"/>
      <c r="E1592" s="30"/>
    </row>
    <row r="1593" spans="3:5" x14ac:dyDescent="0.4">
      <c r="C1593" s="31"/>
      <c r="E1593" s="30"/>
    </row>
    <row r="1594" spans="3:5" x14ac:dyDescent="0.4">
      <c r="C1594" s="31"/>
      <c r="E1594" s="30"/>
    </row>
    <row r="1595" spans="3:5" x14ac:dyDescent="0.4">
      <c r="C1595" s="31"/>
      <c r="E1595" s="30"/>
    </row>
    <row r="1596" spans="3:5" x14ac:dyDescent="0.4">
      <c r="C1596" s="31"/>
      <c r="E1596" s="30"/>
    </row>
    <row r="1597" spans="3:5" x14ac:dyDescent="0.4">
      <c r="C1597" s="31"/>
      <c r="E1597" s="30"/>
    </row>
    <row r="1598" spans="3:5" x14ac:dyDescent="0.4">
      <c r="C1598" s="31"/>
      <c r="E1598" s="30"/>
    </row>
    <row r="1599" spans="3:5" x14ac:dyDescent="0.4">
      <c r="C1599" s="31"/>
      <c r="E1599" s="30"/>
    </row>
    <row r="1600" spans="3:5" x14ac:dyDescent="0.4">
      <c r="C1600" s="31"/>
      <c r="E1600" s="30"/>
    </row>
    <row r="1601" spans="3:5" x14ac:dyDescent="0.4">
      <c r="C1601" s="31"/>
      <c r="E1601" s="30"/>
    </row>
    <row r="1602" spans="3:5" x14ac:dyDescent="0.4">
      <c r="C1602" s="31"/>
      <c r="E1602" s="30"/>
    </row>
    <row r="1603" spans="3:5" x14ac:dyDescent="0.4">
      <c r="C1603" s="31"/>
      <c r="E1603" s="30"/>
    </row>
    <row r="1604" spans="3:5" x14ac:dyDescent="0.4">
      <c r="C1604" s="31"/>
      <c r="E1604" s="30"/>
    </row>
    <row r="1605" spans="3:5" x14ac:dyDescent="0.4">
      <c r="C1605" s="31"/>
      <c r="E1605" s="30"/>
    </row>
    <row r="1606" spans="3:5" x14ac:dyDescent="0.4">
      <c r="C1606" s="31"/>
      <c r="E1606" s="30"/>
    </row>
    <row r="1607" spans="3:5" x14ac:dyDescent="0.4">
      <c r="C1607" s="31"/>
      <c r="E1607" s="30"/>
    </row>
    <row r="1608" spans="3:5" x14ac:dyDescent="0.4">
      <c r="C1608" s="31"/>
      <c r="E1608" s="30"/>
    </row>
    <row r="1609" spans="3:5" x14ac:dyDescent="0.4">
      <c r="C1609" s="31"/>
      <c r="E1609" s="30"/>
    </row>
    <row r="1610" spans="3:5" x14ac:dyDescent="0.4">
      <c r="C1610" s="31"/>
      <c r="E1610" s="30"/>
    </row>
    <row r="1611" spans="3:5" x14ac:dyDescent="0.4">
      <c r="C1611" s="31"/>
      <c r="E1611" s="30"/>
    </row>
    <row r="1612" spans="3:5" x14ac:dyDescent="0.4">
      <c r="C1612" s="31"/>
      <c r="E1612" s="30"/>
    </row>
    <row r="1613" spans="3:5" x14ac:dyDescent="0.4">
      <c r="C1613" s="31"/>
      <c r="E1613" s="30"/>
    </row>
    <row r="1614" spans="3:5" x14ac:dyDescent="0.4">
      <c r="C1614" s="31"/>
      <c r="E1614" s="30"/>
    </row>
    <row r="1615" spans="3:5" x14ac:dyDescent="0.4">
      <c r="C1615" s="31"/>
      <c r="E1615" s="30"/>
    </row>
    <row r="1616" spans="3:5" x14ac:dyDescent="0.4">
      <c r="C1616" s="31"/>
      <c r="E1616" s="30"/>
    </row>
    <row r="1617" spans="3:5" x14ac:dyDescent="0.4">
      <c r="C1617" s="31"/>
      <c r="E1617" s="30"/>
    </row>
    <row r="1618" spans="3:5" x14ac:dyDescent="0.4">
      <c r="C1618" s="31"/>
      <c r="E1618" s="30"/>
    </row>
    <row r="1619" spans="3:5" x14ac:dyDescent="0.4">
      <c r="C1619" s="31"/>
      <c r="E1619" s="30"/>
    </row>
    <row r="1620" spans="3:5" x14ac:dyDescent="0.4">
      <c r="C1620" s="31"/>
      <c r="E1620" s="30"/>
    </row>
    <row r="1621" spans="3:5" x14ac:dyDescent="0.4">
      <c r="C1621" s="31"/>
      <c r="E1621" s="30"/>
    </row>
    <row r="1622" spans="3:5" x14ac:dyDescent="0.4">
      <c r="C1622" s="31"/>
      <c r="E1622" s="30"/>
    </row>
    <row r="1623" spans="3:5" x14ac:dyDescent="0.4">
      <c r="C1623" s="31"/>
      <c r="E1623" s="30"/>
    </row>
    <row r="1624" spans="3:5" x14ac:dyDescent="0.4">
      <c r="C1624" s="31"/>
      <c r="E1624" s="30"/>
    </row>
    <row r="1625" spans="3:5" x14ac:dyDescent="0.4">
      <c r="C1625" s="31"/>
      <c r="E1625" s="30"/>
    </row>
    <row r="1626" spans="3:5" x14ac:dyDescent="0.4">
      <c r="C1626" s="31"/>
      <c r="E1626" s="30"/>
    </row>
    <row r="1627" spans="3:5" x14ac:dyDescent="0.4">
      <c r="C1627" s="31"/>
      <c r="E1627" s="30"/>
    </row>
    <row r="1628" spans="3:5" x14ac:dyDescent="0.4">
      <c r="C1628" s="31"/>
      <c r="E1628" s="30"/>
    </row>
    <row r="1629" spans="3:5" x14ac:dyDescent="0.4">
      <c r="C1629" s="31"/>
      <c r="E1629" s="30"/>
    </row>
    <row r="1630" spans="3:5" x14ac:dyDescent="0.4">
      <c r="C1630" s="31"/>
      <c r="E1630" s="30"/>
    </row>
    <row r="1631" spans="3:5" x14ac:dyDescent="0.4">
      <c r="C1631" s="31"/>
      <c r="E1631" s="30"/>
    </row>
    <row r="1632" spans="3:5" x14ac:dyDescent="0.4">
      <c r="C1632" s="31"/>
      <c r="E1632" s="30"/>
    </row>
    <row r="1633" spans="3:5" x14ac:dyDescent="0.4">
      <c r="C1633" s="31"/>
      <c r="E1633" s="30"/>
    </row>
    <row r="1634" spans="3:5" x14ac:dyDescent="0.4">
      <c r="C1634" s="31"/>
      <c r="E1634" s="30"/>
    </row>
    <row r="1635" spans="3:5" x14ac:dyDescent="0.4">
      <c r="C1635" s="31"/>
      <c r="E1635" s="30"/>
    </row>
    <row r="1636" spans="3:5" x14ac:dyDescent="0.4">
      <c r="C1636" s="31"/>
      <c r="E1636" s="30"/>
    </row>
    <row r="1637" spans="3:5" x14ac:dyDescent="0.4">
      <c r="C1637" s="31"/>
      <c r="E1637" s="30"/>
    </row>
    <row r="1638" spans="3:5" x14ac:dyDescent="0.4">
      <c r="C1638" s="31"/>
      <c r="E1638" s="30"/>
    </row>
    <row r="1639" spans="3:5" x14ac:dyDescent="0.4">
      <c r="C1639" s="31"/>
      <c r="E1639" s="30"/>
    </row>
    <row r="1640" spans="3:5" x14ac:dyDescent="0.4">
      <c r="C1640" s="31"/>
      <c r="E1640" s="30"/>
    </row>
    <row r="1641" spans="3:5" x14ac:dyDescent="0.4">
      <c r="C1641" s="31"/>
      <c r="E1641" s="30"/>
    </row>
    <row r="1642" spans="3:5" x14ac:dyDescent="0.4">
      <c r="C1642" s="31"/>
      <c r="E1642" s="30"/>
    </row>
    <row r="1643" spans="3:5" x14ac:dyDescent="0.4">
      <c r="C1643" s="31"/>
      <c r="E1643" s="30"/>
    </row>
    <row r="1644" spans="3:5" x14ac:dyDescent="0.4">
      <c r="C1644" s="31"/>
      <c r="E1644" s="30"/>
    </row>
    <row r="1645" spans="3:5" x14ac:dyDescent="0.4">
      <c r="C1645" s="31"/>
      <c r="E1645" s="30"/>
    </row>
    <row r="1646" spans="3:5" x14ac:dyDescent="0.4">
      <c r="C1646" s="31"/>
      <c r="E1646" s="30"/>
    </row>
    <row r="1647" spans="3:5" x14ac:dyDescent="0.4">
      <c r="C1647" s="31"/>
      <c r="E1647" s="30"/>
    </row>
    <row r="1648" spans="3:5" x14ac:dyDescent="0.4">
      <c r="C1648" s="31"/>
      <c r="E1648" s="30"/>
    </row>
    <row r="1649" spans="3:5" x14ac:dyDescent="0.4">
      <c r="C1649" s="31"/>
      <c r="E1649" s="30"/>
    </row>
    <row r="1650" spans="3:5" x14ac:dyDescent="0.4">
      <c r="C1650" s="31"/>
      <c r="E1650" s="30"/>
    </row>
    <row r="1651" spans="3:5" x14ac:dyDescent="0.4">
      <c r="C1651" s="31"/>
      <c r="E1651" s="30"/>
    </row>
    <row r="1652" spans="3:5" x14ac:dyDescent="0.4">
      <c r="C1652" s="31"/>
      <c r="E1652" s="30"/>
    </row>
    <row r="1653" spans="3:5" x14ac:dyDescent="0.4">
      <c r="C1653" s="31"/>
      <c r="E1653" s="30"/>
    </row>
    <row r="1654" spans="3:5" x14ac:dyDescent="0.4">
      <c r="C1654" s="31"/>
      <c r="E1654" s="30"/>
    </row>
    <row r="1655" spans="3:5" x14ac:dyDescent="0.4">
      <c r="C1655" s="31"/>
      <c r="E1655" s="30"/>
    </row>
    <row r="1656" spans="3:5" x14ac:dyDescent="0.4">
      <c r="C1656" s="31"/>
      <c r="E1656" s="30"/>
    </row>
    <row r="1657" spans="3:5" x14ac:dyDescent="0.4">
      <c r="C1657" s="31"/>
      <c r="E1657" s="30"/>
    </row>
    <row r="1658" spans="3:5" x14ac:dyDescent="0.4">
      <c r="C1658" s="31"/>
      <c r="E1658" s="30"/>
    </row>
    <row r="1659" spans="3:5" x14ac:dyDescent="0.4">
      <c r="C1659" s="31"/>
      <c r="E1659" s="30"/>
    </row>
    <row r="1660" spans="3:5" x14ac:dyDescent="0.4">
      <c r="C1660" s="31"/>
      <c r="E1660" s="30"/>
    </row>
    <row r="1661" spans="3:5" x14ac:dyDescent="0.4">
      <c r="C1661" s="31"/>
      <c r="E1661" s="30"/>
    </row>
    <row r="1662" spans="3:5" x14ac:dyDescent="0.4">
      <c r="C1662" s="31"/>
      <c r="E1662" s="30"/>
    </row>
    <row r="1663" spans="3:5" x14ac:dyDescent="0.4">
      <c r="C1663" s="31"/>
      <c r="E1663" s="30"/>
    </row>
    <row r="1664" spans="3:5" x14ac:dyDescent="0.4">
      <c r="C1664" s="31"/>
      <c r="E1664" s="30"/>
    </row>
    <row r="1665" spans="3:5" x14ac:dyDescent="0.4">
      <c r="C1665" s="31"/>
      <c r="E1665" s="30"/>
    </row>
    <row r="1666" spans="3:5" x14ac:dyDescent="0.4">
      <c r="C1666" s="31"/>
      <c r="E1666" s="30"/>
    </row>
    <row r="1667" spans="3:5" x14ac:dyDescent="0.4">
      <c r="C1667" s="31"/>
      <c r="E1667" s="30"/>
    </row>
    <row r="1668" spans="3:5" x14ac:dyDescent="0.4">
      <c r="C1668" s="31"/>
      <c r="E1668" s="30"/>
    </row>
    <row r="1669" spans="3:5" x14ac:dyDescent="0.4">
      <c r="C1669" s="31"/>
      <c r="E1669" s="30"/>
    </row>
    <row r="1670" spans="3:5" x14ac:dyDescent="0.4">
      <c r="C1670" s="31"/>
      <c r="E1670" s="30"/>
    </row>
    <row r="1671" spans="3:5" x14ac:dyDescent="0.4">
      <c r="C1671" s="31"/>
      <c r="E1671" s="30"/>
    </row>
    <row r="1672" spans="3:5" x14ac:dyDescent="0.4">
      <c r="C1672" s="31"/>
      <c r="E1672" s="30"/>
    </row>
    <row r="1673" spans="3:5" x14ac:dyDescent="0.4">
      <c r="C1673" s="31"/>
      <c r="E1673" s="30"/>
    </row>
    <row r="1674" spans="3:5" x14ac:dyDescent="0.4">
      <c r="C1674" s="31"/>
      <c r="E1674" s="30"/>
    </row>
    <row r="1675" spans="3:5" x14ac:dyDescent="0.4">
      <c r="C1675" s="31"/>
      <c r="E1675" s="30"/>
    </row>
    <row r="1676" spans="3:5" x14ac:dyDescent="0.4">
      <c r="C1676" s="31"/>
      <c r="E1676" s="30"/>
    </row>
    <row r="1677" spans="3:5" x14ac:dyDescent="0.4">
      <c r="C1677" s="31"/>
      <c r="E1677" s="30"/>
    </row>
    <row r="1678" spans="3:5" x14ac:dyDescent="0.4">
      <c r="C1678" s="31"/>
      <c r="E1678" s="30"/>
    </row>
    <row r="1679" spans="3:5" x14ac:dyDescent="0.4">
      <c r="C1679" s="31"/>
      <c r="E1679" s="30"/>
    </row>
    <row r="1680" spans="3:5" x14ac:dyDescent="0.4">
      <c r="C1680" s="31"/>
      <c r="E1680" s="30"/>
    </row>
    <row r="1681" spans="3:5" x14ac:dyDescent="0.4">
      <c r="C1681" s="31"/>
      <c r="E1681" s="30"/>
    </row>
    <row r="1682" spans="3:5" x14ac:dyDescent="0.4">
      <c r="C1682" s="31"/>
      <c r="E1682" s="30"/>
    </row>
    <row r="1683" spans="3:5" x14ac:dyDescent="0.4">
      <c r="C1683" s="31"/>
      <c r="E1683" s="30"/>
    </row>
    <row r="1684" spans="3:5" x14ac:dyDescent="0.4">
      <c r="C1684" s="31"/>
      <c r="E1684" s="30"/>
    </row>
    <row r="1685" spans="3:5" x14ac:dyDescent="0.4">
      <c r="C1685" s="31"/>
      <c r="E1685" s="30"/>
    </row>
    <row r="1686" spans="3:5" x14ac:dyDescent="0.4">
      <c r="C1686" s="31"/>
      <c r="E1686" s="30"/>
    </row>
    <row r="1687" spans="3:5" x14ac:dyDescent="0.4">
      <c r="C1687" s="31"/>
      <c r="E1687" s="30"/>
    </row>
    <row r="1688" spans="3:5" x14ac:dyDescent="0.4">
      <c r="C1688" s="31"/>
      <c r="E1688" s="30"/>
    </row>
    <row r="1689" spans="3:5" x14ac:dyDescent="0.4">
      <c r="C1689" s="31"/>
      <c r="E1689" s="30"/>
    </row>
    <row r="1690" spans="3:5" x14ac:dyDescent="0.4">
      <c r="C1690" s="31"/>
      <c r="E1690" s="30"/>
    </row>
    <row r="1691" spans="3:5" x14ac:dyDescent="0.4">
      <c r="C1691" s="31"/>
      <c r="E1691" s="30"/>
    </row>
    <row r="1692" spans="3:5" x14ac:dyDescent="0.4">
      <c r="C1692" s="31"/>
      <c r="E1692" s="30"/>
    </row>
    <row r="1693" spans="3:5" x14ac:dyDescent="0.4">
      <c r="C1693" s="31"/>
      <c r="E1693" s="30"/>
    </row>
    <row r="1694" spans="3:5" x14ac:dyDescent="0.4">
      <c r="C1694" s="31"/>
      <c r="E1694" s="30"/>
    </row>
    <row r="1695" spans="3:5" x14ac:dyDescent="0.4">
      <c r="C1695" s="31"/>
      <c r="E1695" s="30"/>
    </row>
    <row r="1696" spans="3:5" x14ac:dyDescent="0.4">
      <c r="C1696" s="31"/>
      <c r="E1696" s="30"/>
    </row>
    <row r="1697" spans="3:5" x14ac:dyDescent="0.4">
      <c r="C1697" s="31"/>
      <c r="E1697" s="30"/>
    </row>
    <row r="1698" spans="3:5" x14ac:dyDescent="0.4">
      <c r="C1698" s="31"/>
      <c r="E1698" s="30"/>
    </row>
    <row r="1699" spans="3:5" x14ac:dyDescent="0.4">
      <c r="C1699" s="31"/>
      <c r="E1699" s="30"/>
    </row>
    <row r="1700" spans="3:5" x14ac:dyDescent="0.4">
      <c r="C1700" s="31"/>
      <c r="E1700" s="30"/>
    </row>
    <row r="1701" spans="3:5" x14ac:dyDescent="0.4">
      <c r="C1701" s="31"/>
      <c r="E1701" s="30"/>
    </row>
    <row r="1702" spans="3:5" x14ac:dyDescent="0.4">
      <c r="C1702" s="31"/>
      <c r="E1702" s="30"/>
    </row>
    <row r="1703" spans="3:5" x14ac:dyDescent="0.4">
      <c r="C1703" s="31"/>
      <c r="E1703" s="30"/>
    </row>
    <row r="1704" spans="3:5" x14ac:dyDescent="0.4">
      <c r="C1704" s="31"/>
      <c r="E1704" s="30"/>
    </row>
    <row r="1705" spans="3:5" x14ac:dyDescent="0.4">
      <c r="C1705" s="31"/>
      <c r="E1705" s="30"/>
    </row>
    <row r="1706" spans="3:5" x14ac:dyDescent="0.4">
      <c r="C1706" s="31"/>
      <c r="E1706" s="30"/>
    </row>
    <row r="1707" spans="3:5" x14ac:dyDescent="0.4">
      <c r="C1707" s="31"/>
      <c r="E1707" s="30"/>
    </row>
    <row r="1708" spans="3:5" x14ac:dyDescent="0.4">
      <c r="C1708" s="31"/>
      <c r="E1708" s="30"/>
    </row>
    <row r="1709" spans="3:5" x14ac:dyDescent="0.4">
      <c r="C1709" s="31"/>
      <c r="E1709" s="30"/>
    </row>
    <row r="1710" spans="3:5" x14ac:dyDescent="0.4">
      <c r="C1710" s="31"/>
      <c r="E1710" s="30"/>
    </row>
    <row r="1711" spans="3:5" x14ac:dyDescent="0.4">
      <c r="C1711" s="31"/>
      <c r="E1711" s="30"/>
    </row>
    <row r="1712" spans="3:5" x14ac:dyDescent="0.4">
      <c r="C1712" s="31"/>
      <c r="E1712" s="30"/>
    </row>
    <row r="1713" spans="3:5" x14ac:dyDescent="0.4">
      <c r="C1713" s="31"/>
      <c r="E1713" s="30"/>
    </row>
    <row r="1714" spans="3:5" x14ac:dyDescent="0.4">
      <c r="C1714" s="31"/>
      <c r="E1714" s="30"/>
    </row>
    <row r="1715" spans="3:5" x14ac:dyDescent="0.4">
      <c r="C1715" s="31"/>
      <c r="E1715" s="30"/>
    </row>
    <row r="1716" spans="3:5" x14ac:dyDescent="0.4">
      <c r="C1716" s="31"/>
      <c r="E1716" s="30"/>
    </row>
    <row r="1717" spans="3:5" x14ac:dyDescent="0.4">
      <c r="C1717" s="31"/>
      <c r="E1717" s="30"/>
    </row>
    <row r="1718" spans="3:5" x14ac:dyDescent="0.4">
      <c r="C1718" s="31"/>
      <c r="E1718" s="30"/>
    </row>
    <row r="1719" spans="3:5" x14ac:dyDescent="0.4">
      <c r="C1719" s="31"/>
      <c r="E1719" s="30"/>
    </row>
    <row r="1720" spans="3:5" x14ac:dyDescent="0.4">
      <c r="C1720" s="31"/>
      <c r="E1720" s="30"/>
    </row>
    <row r="1721" spans="3:5" x14ac:dyDescent="0.4">
      <c r="C1721" s="31"/>
      <c r="E1721" s="30"/>
    </row>
    <row r="1722" spans="3:5" x14ac:dyDescent="0.4">
      <c r="C1722" s="31"/>
      <c r="E1722" s="30"/>
    </row>
    <row r="1723" spans="3:5" x14ac:dyDescent="0.4">
      <c r="C1723" s="31"/>
      <c r="E1723" s="30"/>
    </row>
    <row r="1724" spans="3:5" x14ac:dyDescent="0.4">
      <c r="C1724" s="31"/>
      <c r="E1724" s="30"/>
    </row>
    <row r="1725" spans="3:5" x14ac:dyDescent="0.4">
      <c r="C1725" s="31"/>
      <c r="E1725" s="30"/>
    </row>
    <row r="1726" spans="3:5" x14ac:dyDescent="0.4">
      <c r="C1726" s="31"/>
      <c r="E1726" s="30"/>
    </row>
    <row r="1727" spans="3:5" x14ac:dyDescent="0.4">
      <c r="C1727" s="31"/>
      <c r="E1727" s="30"/>
    </row>
    <row r="1728" spans="3:5" x14ac:dyDescent="0.4">
      <c r="C1728" s="31"/>
      <c r="E1728" s="30"/>
    </row>
    <row r="1729" spans="3:5" x14ac:dyDescent="0.4">
      <c r="C1729" s="31"/>
      <c r="E1729" s="30"/>
    </row>
    <row r="1730" spans="3:5" x14ac:dyDescent="0.4">
      <c r="C1730" s="31"/>
      <c r="E1730" s="30"/>
    </row>
    <row r="1731" spans="3:5" x14ac:dyDescent="0.4">
      <c r="C1731" s="31"/>
      <c r="E1731" s="30"/>
    </row>
    <row r="1732" spans="3:5" x14ac:dyDescent="0.4">
      <c r="C1732" s="31"/>
      <c r="E1732" s="30"/>
    </row>
    <row r="1733" spans="3:5" x14ac:dyDescent="0.4">
      <c r="C1733" s="31"/>
      <c r="E1733" s="30"/>
    </row>
    <row r="1734" spans="3:5" x14ac:dyDescent="0.4">
      <c r="C1734" s="31"/>
      <c r="E1734" s="30"/>
    </row>
    <row r="1735" spans="3:5" x14ac:dyDescent="0.4">
      <c r="C1735" s="31"/>
      <c r="E1735" s="30"/>
    </row>
    <row r="1736" spans="3:5" x14ac:dyDescent="0.4">
      <c r="C1736" s="31"/>
      <c r="E1736" s="30"/>
    </row>
    <row r="1737" spans="3:5" x14ac:dyDescent="0.4">
      <c r="C1737" s="31"/>
      <c r="E1737" s="30"/>
    </row>
    <row r="1738" spans="3:5" x14ac:dyDescent="0.4">
      <c r="C1738" s="31"/>
      <c r="E1738" s="30"/>
    </row>
    <row r="1739" spans="3:5" x14ac:dyDescent="0.4">
      <c r="C1739" s="31"/>
      <c r="E1739" s="30"/>
    </row>
    <row r="1740" spans="3:5" x14ac:dyDescent="0.4">
      <c r="C1740" s="31"/>
      <c r="E1740" s="30"/>
    </row>
    <row r="1741" spans="3:5" x14ac:dyDescent="0.4">
      <c r="C1741" s="31"/>
      <c r="E1741" s="30"/>
    </row>
    <row r="1742" spans="3:5" x14ac:dyDescent="0.4">
      <c r="C1742" s="31"/>
      <c r="E1742" s="30"/>
    </row>
    <row r="1743" spans="3:5" x14ac:dyDescent="0.4">
      <c r="C1743" s="31"/>
      <c r="E1743" s="30"/>
    </row>
    <row r="1744" spans="3:5" x14ac:dyDescent="0.4">
      <c r="C1744" s="31"/>
      <c r="E1744" s="30"/>
    </row>
    <row r="1745" spans="3:5" x14ac:dyDescent="0.4">
      <c r="C1745" s="31"/>
      <c r="E1745" s="30"/>
    </row>
    <row r="1746" spans="3:5" x14ac:dyDescent="0.4">
      <c r="C1746" s="31"/>
      <c r="E1746" s="30"/>
    </row>
    <row r="1747" spans="3:5" x14ac:dyDescent="0.4">
      <c r="C1747" s="31"/>
      <c r="E1747" s="30"/>
    </row>
    <row r="1748" spans="3:5" x14ac:dyDescent="0.4">
      <c r="C1748" s="31"/>
      <c r="E1748" s="30"/>
    </row>
    <row r="1749" spans="3:5" x14ac:dyDescent="0.4">
      <c r="C1749" s="31"/>
      <c r="E1749" s="30"/>
    </row>
    <row r="1750" spans="3:5" x14ac:dyDescent="0.4">
      <c r="C1750" s="31"/>
      <c r="E1750" s="30"/>
    </row>
    <row r="1751" spans="3:5" x14ac:dyDescent="0.4">
      <c r="C1751" s="31"/>
      <c r="E1751" s="30"/>
    </row>
    <row r="1752" spans="3:5" x14ac:dyDescent="0.4">
      <c r="C1752" s="31"/>
      <c r="E1752" s="30"/>
    </row>
    <row r="1753" spans="3:5" x14ac:dyDescent="0.4">
      <c r="C1753" s="31"/>
      <c r="E1753" s="30"/>
    </row>
    <row r="1754" spans="3:5" x14ac:dyDescent="0.4">
      <c r="C1754" s="31"/>
      <c r="E1754" s="30"/>
    </row>
    <row r="1755" spans="3:5" x14ac:dyDescent="0.4">
      <c r="C1755" s="31"/>
      <c r="E1755" s="30"/>
    </row>
    <row r="1756" spans="3:5" x14ac:dyDescent="0.4">
      <c r="C1756" s="31"/>
      <c r="E1756" s="30"/>
    </row>
    <row r="1757" spans="3:5" x14ac:dyDescent="0.4">
      <c r="C1757" s="31"/>
      <c r="E1757" s="30"/>
    </row>
    <row r="1758" spans="3:5" x14ac:dyDescent="0.4">
      <c r="C1758" s="31"/>
      <c r="E1758" s="30"/>
    </row>
    <row r="1759" spans="3:5" x14ac:dyDescent="0.4">
      <c r="C1759" s="31"/>
      <c r="E1759" s="30"/>
    </row>
    <row r="1760" spans="3:5" x14ac:dyDescent="0.4">
      <c r="C1760" s="31"/>
      <c r="E1760" s="30"/>
    </row>
    <row r="1761" spans="3:5" x14ac:dyDescent="0.4">
      <c r="C1761" s="31"/>
      <c r="E1761" s="30"/>
    </row>
    <row r="1762" spans="3:5" x14ac:dyDescent="0.4">
      <c r="C1762" s="31"/>
      <c r="E1762" s="30"/>
    </row>
    <row r="1763" spans="3:5" x14ac:dyDescent="0.4">
      <c r="C1763" s="31"/>
      <c r="E1763" s="30"/>
    </row>
    <row r="1764" spans="3:5" x14ac:dyDescent="0.4">
      <c r="C1764" s="31"/>
      <c r="E1764" s="30"/>
    </row>
    <row r="1765" spans="3:5" x14ac:dyDescent="0.4">
      <c r="C1765" s="31"/>
      <c r="E1765" s="30"/>
    </row>
    <row r="1766" spans="3:5" x14ac:dyDescent="0.4">
      <c r="C1766" s="31"/>
      <c r="E1766" s="30"/>
    </row>
    <row r="1767" spans="3:5" x14ac:dyDescent="0.4">
      <c r="C1767" s="31"/>
      <c r="E1767" s="30"/>
    </row>
    <row r="1768" spans="3:5" x14ac:dyDescent="0.4">
      <c r="C1768" s="31"/>
      <c r="E1768" s="30"/>
    </row>
    <row r="1769" spans="3:5" x14ac:dyDescent="0.4">
      <c r="C1769" s="31"/>
      <c r="E1769" s="30"/>
    </row>
    <row r="1770" spans="3:5" x14ac:dyDescent="0.4">
      <c r="C1770" s="31"/>
      <c r="E1770" s="30"/>
    </row>
    <row r="1771" spans="3:5" x14ac:dyDescent="0.4">
      <c r="C1771" s="31"/>
      <c r="E1771" s="30"/>
    </row>
    <row r="1772" spans="3:5" x14ac:dyDescent="0.4">
      <c r="C1772" s="31"/>
      <c r="E1772" s="30"/>
    </row>
    <row r="1773" spans="3:5" x14ac:dyDescent="0.4">
      <c r="C1773" s="31"/>
      <c r="E1773" s="30"/>
    </row>
    <row r="1774" spans="3:5" x14ac:dyDescent="0.4">
      <c r="C1774" s="31"/>
      <c r="E1774" s="30"/>
    </row>
    <row r="1775" spans="3:5" x14ac:dyDescent="0.4">
      <c r="C1775" s="31"/>
      <c r="E1775" s="30"/>
    </row>
    <row r="1776" spans="3:5" x14ac:dyDescent="0.4">
      <c r="C1776" s="31"/>
      <c r="E1776" s="30"/>
    </row>
    <row r="1777" spans="3:5" x14ac:dyDescent="0.4">
      <c r="C1777" s="31"/>
      <c r="E1777" s="30"/>
    </row>
    <row r="1778" spans="3:5" x14ac:dyDescent="0.4">
      <c r="C1778" s="31"/>
      <c r="E1778" s="30"/>
    </row>
    <row r="1779" spans="3:5" x14ac:dyDescent="0.4">
      <c r="C1779" s="31"/>
      <c r="E1779" s="30"/>
    </row>
    <row r="1780" spans="3:5" x14ac:dyDescent="0.4">
      <c r="C1780" s="31"/>
      <c r="E1780" s="30"/>
    </row>
    <row r="1781" spans="3:5" x14ac:dyDescent="0.4">
      <c r="C1781" s="31"/>
      <c r="E1781" s="30"/>
    </row>
    <row r="1782" spans="3:5" x14ac:dyDescent="0.4">
      <c r="C1782" s="31"/>
      <c r="E1782" s="30"/>
    </row>
    <row r="1783" spans="3:5" x14ac:dyDescent="0.4">
      <c r="C1783" s="31"/>
      <c r="E1783" s="30"/>
    </row>
    <row r="1784" spans="3:5" x14ac:dyDescent="0.4">
      <c r="C1784" s="31"/>
      <c r="E1784" s="30"/>
    </row>
    <row r="1785" spans="3:5" x14ac:dyDescent="0.4">
      <c r="C1785" s="31"/>
      <c r="E1785" s="30"/>
    </row>
    <row r="1786" spans="3:5" x14ac:dyDescent="0.4">
      <c r="C1786" s="31"/>
      <c r="E1786" s="30"/>
    </row>
    <row r="1787" spans="3:5" x14ac:dyDescent="0.4">
      <c r="C1787" s="31"/>
      <c r="E1787" s="30"/>
    </row>
    <row r="1788" spans="3:5" x14ac:dyDescent="0.4">
      <c r="C1788" s="31"/>
      <c r="E1788" s="30"/>
    </row>
    <row r="1789" spans="3:5" x14ac:dyDescent="0.4">
      <c r="C1789" s="31"/>
      <c r="E1789" s="30"/>
    </row>
    <row r="1790" spans="3:5" x14ac:dyDescent="0.4">
      <c r="C1790" s="31"/>
      <c r="E1790" s="30"/>
    </row>
    <row r="1791" spans="3:5" x14ac:dyDescent="0.4">
      <c r="C1791" s="31"/>
      <c r="E1791" s="30"/>
    </row>
    <row r="1792" spans="3:5" x14ac:dyDescent="0.4">
      <c r="C1792" s="31"/>
      <c r="E1792" s="30"/>
    </row>
    <row r="1793" spans="3:5" x14ac:dyDescent="0.4">
      <c r="C1793" s="31"/>
      <c r="E1793" s="30"/>
    </row>
    <row r="1794" spans="3:5" x14ac:dyDescent="0.4">
      <c r="C1794" s="31"/>
      <c r="E1794" s="30"/>
    </row>
    <row r="1795" spans="3:5" x14ac:dyDescent="0.4">
      <c r="C1795" s="31"/>
      <c r="E1795" s="30"/>
    </row>
    <row r="1796" spans="3:5" x14ac:dyDescent="0.4">
      <c r="C1796" s="31"/>
      <c r="E1796" s="30"/>
    </row>
    <row r="1797" spans="3:5" x14ac:dyDescent="0.4">
      <c r="C1797" s="31"/>
      <c r="E1797" s="30"/>
    </row>
    <row r="1798" spans="3:5" x14ac:dyDescent="0.4">
      <c r="C1798" s="31"/>
      <c r="E1798" s="30"/>
    </row>
    <row r="1799" spans="3:5" x14ac:dyDescent="0.4">
      <c r="C1799" s="31"/>
      <c r="E1799" s="30"/>
    </row>
    <row r="1800" spans="3:5" x14ac:dyDescent="0.4">
      <c r="C1800" s="31"/>
      <c r="E1800" s="30"/>
    </row>
    <row r="1801" spans="3:5" x14ac:dyDescent="0.4">
      <c r="C1801" s="31"/>
      <c r="E1801" s="30"/>
    </row>
    <row r="1802" spans="3:5" x14ac:dyDescent="0.4">
      <c r="C1802" s="31"/>
      <c r="E1802" s="30"/>
    </row>
    <row r="1803" spans="3:5" x14ac:dyDescent="0.4">
      <c r="C1803" s="31"/>
      <c r="E1803" s="30"/>
    </row>
    <row r="1804" spans="3:5" x14ac:dyDescent="0.4">
      <c r="C1804" s="31"/>
      <c r="E1804" s="30"/>
    </row>
    <row r="1805" spans="3:5" x14ac:dyDescent="0.4">
      <c r="C1805" s="31"/>
      <c r="E1805" s="30"/>
    </row>
    <row r="1806" spans="3:5" x14ac:dyDescent="0.4">
      <c r="C1806" s="31"/>
      <c r="E1806" s="30"/>
    </row>
    <row r="1807" spans="3:5" x14ac:dyDescent="0.4">
      <c r="C1807" s="31"/>
      <c r="E1807" s="30"/>
    </row>
    <row r="1808" spans="3:5" x14ac:dyDescent="0.4">
      <c r="C1808" s="31"/>
      <c r="E1808" s="30"/>
    </row>
    <row r="1809" spans="3:5" x14ac:dyDescent="0.4">
      <c r="C1809" s="31"/>
      <c r="E1809" s="30"/>
    </row>
    <row r="1810" spans="3:5" x14ac:dyDescent="0.4">
      <c r="C1810" s="31"/>
      <c r="E1810" s="30"/>
    </row>
    <row r="1811" spans="3:5" x14ac:dyDescent="0.4">
      <c r="C1811" s="31"/>
      <c r="E1811" s="30"/>
    </row>
    <row r="1812" spans="3:5" x14ac:dyDescent="0.4">
      <c r="C1812" s="31"/>
      <c r="E1812" s="30"/>
    </row>
    <row r="1813" spans="3:5" x14ac:dyDescent="0.4">
      <c r="C1813" s="31"/>
      <c r="E1813" s="30"/>
    </row>
    <row r="1814" spans="3:5" x14ac:dyDescent="0.4">
      <c r="C1814" s="31"/>
      <c r="E1814" s="30"/>
    </row>
    <row r="1815" spans="3:5" x14ac:dyDescent="0.4">
      <c r="C1815" s="31"/>
      <c r="E1815" s="30"/>
    </row>
    <row r="1816" spans="3:5" x14ac:dyDescent="0.4">
      <c r="C1816" s="31"/>
      <c r="E1816" s="30"/>
    </row>
    <row r="1817" spans="3:5" x14ac:dyDescent="0.4">
      <c r="C1817" s="31"/>
      <c r="E1817" s="30"/>
    </row>
    <row r="1818" spans="3:5" x14ac:dyDescent="0.4">
      <c r="C1818" s="31"/>
      <c r="E1818" s="30"/>
    </row>
    <row r="1819" spans="3:5" x14ac:dyDescent="0.4">
      <c r="C1819" s="31"/>
      <c r="E1819" s="30"/>
    </row>
    <row r="1820" spans="3:5" x14ac:dyDescent="0.4">
      <c r="C1820" s="31"/>
      <c r="E1820" s="30"/>
    </row>
    <row r="1821" spans="3:5" x14ac:dyDescent="0.4">
      <c r="C1821" s="31"/>
      <c r="E1821" s="30"/>
    </row>
    <row r="1822" spans="3:5" x14ac:dyDescent="0.4">
      <c r="C1822" s="31"/>
      <c r="E1822" s="30"/>
    </row>
    <row r="1823" spans="3:5" x14ac:dyDescent="0.4">
      <c r="C1823" s="31"/>
      <c r="E1823" s="30"/>
    </row>
    <row r="1824" spans="3:5" x14ac:dyDescent="0.4">
      <c r="C1824" s="31"/>
      <c r="E1824" s="30"/>
    </row>
    <row r="1825" spans="3:5" x14ac:dyDescent="0.4">
      <c r="C1825" s="31"/>
      <c r="E1825" s="30"/>
    </row>
    <row r="1826" spans="3:5" x14ac:dyDescent="0.4">
      <c r="C1826" s="31"/>
      <c r="E1826" s="30"/>
    </row>
    <row r="1827" spans="3:5" x14ac:dyDescent="0.4">
      <c r="C1827" s="31"/>
      <c r="E1827" s="30"/>
    </row>
    <row r="1828" spans="3:5" x14ac:dyDescent="0.4">
      <c r="C1828" s="31"/>
      <c r="E1828" s="30"/>
    </row>
    <row r="1829" spans="3:5" x14ac:dyDescent="0.4">
      <c r="C1829" s="31"/>
      <c r="E1829" s="30"/>
    </row>
    <row r="1830" spans="3:5" x14ac:dyDescent="0.4">
      <c r="C1830" s="31"/>
      <c r="E1830" s="30"/>
    </row>
    <row r="1831" spans="3:5" x14ac:dyDescent="0.4">
      <c r="C1831" s="31"/>
      <c r="E1831" s="30"/>
    </row>
    <row r="1832" spans="3:5" x14ac:dyDescent="0.4">
      <c r="C1832" s="31"/>
      <c r="E1832" s="30"/>
    </row>
    <row r="1833" spans="3:5" x14ac:dyDescent="0.4">
      <c r="C1833" s="31"/>
      <c r="E1833" s="30"/>
    </row>
    <row r="1834" spans="3:5" x14ac:dyDescent="0.4">
      <c r="C1834" s="31"/>
      <c r="E1834" s="30"/>
    </row>
    <row r="1835" spans="3:5" x14ac:dyDescent="0.4">
      <c r="C1835" s="31"/>
      <c r="E1835" s="30"/>
    </row>
    <row r="1836" spans="3:5" x14ac:dyDescent="0.4">
      <c r="C1836" s="31"/>
      <c r="E1836" s="30"/>
    </row>
    <row r="1837" spans="3:5" x14ac:dyDescent="0.4">
      <c r="C1837" s="31"/>
      <c r="E1837" s="30"/>
    </row>
    <row r="1838" spans="3:5" x14ac:dyDescent="0.4">
      <c r="C1838" s="31"/>
      <c r="E1838" s="30"/>
    </row>
    <row r="1839" spans="3:5" x14ac:dyDescent="0.4">
      <c r="C1839" s="31"/>
      <c r="E1839" s="30"/>
    </row>
    <row r="1840" spans="3:5" x14ac:dyDescent="0.4">
      <c r="C1840" s="31"/>
      <c r="E1840" s="30"/>
    </row>
    <row r="1841" spans="3:5" x14ac:dyDescent="0.4">
      <c r="C1841" s="31"/>
      <c r="E1841" s="30"/>
    </row>
    <row r="1842" spans="3:5" x14ac:dyDescent="0.4">
      <c r="C1842" s="31"/>
      <c r="E1842" s="30"/>
    </row>
    <row r="1843" spans="3:5" x14ac:dyDescent="0.4">
      <c r="C1843" s="31"/>
      <c r="E1843" s="30"/>
    </row>
    <row r="1844" spans="3:5" x14ac:dyDescent="0.4">
      <c r="C1844" s="31"/>
      <c r="E1844" s="30"/>
    </row>
    <row r="1845" spans="3:5" x14ac:dyDescent="0.4">
      <c r="C1845" s="31"/>
      <c r="E1845" s="30"/>
    </row>
    <row r="1846" spans="3:5" x14ac:dyDescent="0.4">
      <c r="C1846" s="31"/>
      <c r="E1846" s="30"/>
    </row>
    <row r="1847" spans="3:5" x14ac:dyDescent="0.4">
      <c r="C1847" s="31"/>
      <c r="E1847" s="30"/>
    </row>
    <row r="1848" spans="3:5" x14ac:dyDescent="0.4">
      <c r="C1848" s="31"/>
      <c r="E1848" s="30"/>
    </row>
    <row r="1849" spans="3:5" x14ac:dyDescent="0.4">
      <c r="C1849" s="31"/>
      <c r="E1849" s="30"/>
    </row>
    <row r="1850" spans="3:5" x14ac:dyDescent="0.4">
      <c r="C1850" s="31"/>
      <c r="E1850" s="30"/>
    </row>
    <row r="1851" spans="3:5" x14ac:dyDescent="0.4">
      <c r="C1851" s="31"/>
      <c r="E1851" s="30"/>
    </row>
    <row r="1852" spans="3:5" x14ac:dyDescent="0.4">
      <c r="C1852" s="31"/>
      <c r="E1852" s="30"/>
    </row>
    <row r="1853" spans="3:5" x14ac:dyDescent="0.4">
      <c r="C1853" s="31"/>
      <c r="E1853" s="30"/>
    </row>
    <row r="1854" spans="3:5" x14ac:dyDescent="0.4">
      <c r="C1854" s="31"/>
      <c r="E1854" s="30"/>
    </row>
    <row r="1855" spans="3:5" x14ac:dyDescent="0.4">
      <c r="C1855" s="31"/>
      <c r="E1855" s="30"/>
    </row>
    <row r="1856" spans="3:5" x14ac:dyDescent="0.4">
      <c r="C1856" s="31"/>
      <c r="E1856" s="30"/>
    </row>
    <row r="1857" spans="3:5" x14ac:dyDescent="0.4">
      <c r="C1857" s="31"/>
      <c r="E1857" s="30"/>
    </row>
    <row r="1858" spans="3:5" x14ac:dyDescent="0.4">
      <c r="C1858" s="31"/>
      <c r="E1858" s="30"/>
    </row>
    <row r="1859" spans="3:5" x14ac:dyDescent="0.4">
      <c r="C1859" s="31"/>
      <c r="E1859" s="30"/>
    </row>
    <row r="1860" spans="3:5" x14ac:dyDescent="0.4">
      <c r="C1860" s="31"/>
      <c r="E1860" s="30"/>
    </row>
    <row r="1861" spans="3:5" x14ac:dyDescent="0.4">
      <c r="C1861" s="31"/>
      <c r="E1861" s="30"/>
    </row>
    <row r="1862" spans="3:5" x14ac:dyDescent="0.4">
      <c r="C1862" s="31"/>
      <c r="E1862" s="30"/>
    </row>
    <row r="1863" spans="3:5" x14ac:dyDescent="0.4">
      <c r="C1863" s="31"/>
      <c r="E1863" s="30"/>
    </row>
    <row r="1864" spans="3:5" x14ac:dyDescent="0.4">
      <c r="C1864" s="31"/>
      <c r="E1864" s="30"/>
    </row>
    <row r="1865" spans="3:5" x14ac:dyDescent="0.4">
      <c r="C1865" s="31"/>
      <c r="E1865" s="30"/>
    </row>
    <row r="1866" spans="3:5" x14ac:dyDescent="0.4">
      <c r="C1866" s="31"/>
      <c r="E1866" s="30"/>
    </row>
    <row r="1867" spans="3:5" x14ac:dyDescent="0.4">
      <c r="C1867" s="31"/>
      <c r="E1867" s="30"/>
    </row>
    <row r="1868" spans="3:5" x14ac:dyDescent="0.4">
      <c r="C1868" s="31"/>
      <c r="E1868" s="30"/>
    </row>
    <row r="1869" spans="3:5" x14ac:dyDescent="0.4">
      <c r="C1869" s="31"/>
      <c r="E1869" s="30"/>
    </row>
    <row r="1870" spans="3:5" x14ac:dyDescent="0.4">
      <c r="C1870" s="31"/>
      <c r="E1870" s="30"/>
    </row>
    <row r="1871" spans="3:5" x14ac:dyDescent="0.4">
      <c r="C1871" s="31"/>
      <c r="E1871" s="30"/>
    </row>
    <row r="1872" spans="3:5" x14ac:dyDescent="0.4">
      <c r="C1872" s="31"/>
      <c r="E1872" s="30"/>
    </row>
    <row r="1873" spans="3:5" x14ac:dyDescent="0.4">
      <c r="C1873" s="31"/>
      <c r="E1873" s="30"/>
    </row>
    <row r="1874" spans="3:5" x14ac:dyDescent="0.4">
      <c r="C1874" s="31"/>
      <c r="E1874" s="30"/>
    </row>
    <row r="1875" spans="3:5" x14ac:dyDescent="0.4">
      <c r="C1875" s="31"/>
      <c r="E1875" s="30"/>
    </row>
    <row r="1876" spans="3:5" x14ac:dyDescent="0.4">
      <c r="C1876" s="31"/>
      <c r="E1876" s="30"/>
    </row>
    <row r="1877" spans="3:5" x14ac:dyDescent="0.4">
      <c r="C1877" s="31"/>
      <c r="E1877" s="30"/>
    </row>
    <row r="1878" spans="3:5" x14ac:dyDescent="0.4">
      <c r="C1878" s="31"/>
      <c r="E1878" s="30"/>
    </row>
    <row r="1879" spans="3:5" x14ac:dyDescent="0.4">
      <c r="C1879" s="31"/>
      <c r="E1879" s="30"/>
    </row>
    <row r="1880" spans="3:5" x14ac:dyDescent="0.4">
      <c r="C1880" s="31"/>
      <c r="E1880" s="30"/>
    </row>
    <row r="1881" spans="3:5" x14ac:dyDescent="0.4">
      <c r="C1881" s="31"/>
      <c r="E1881" s="30"/>
    </row>
    <row r="1882" spans="3:5" x14ac:dyDescent="0.4">
      <c r="C1882" s="31"/>
      <c r="E1882" s="30"/>
    </row>
    <row r="1883" spans="3:5" x14ac:dyDescent="0.4">
      <c r="C1883" s="31"/>
      <c r="E1883" s="30"/>
    </row>
    <row r="1884" spans="3:5" x14ac:dyDescent="0.4">
      <c r="C1884" s="31"/>
      <c r="E1884" s="30"/>
    </row>
    <row r="1885" spans="3:5" x14ac:dyDescent="0.4">
      <c r="C1885" s="31"/>
      <c r="E1885" s="30"/>
    </row>
    <row r="1886" spans="3:5" x14ac:dyDescent="0.4">
      <c r="C1886" s="31"/>
      <c r="E1886" s="30"/>
    </row>
    <row r="1887" spans="3:5" x14ac:dyDescent="0.4">
      <c r="C1887" s="31"/>
      <c r="E1887" s="30"/>
    </row>
    <row r="1888" spans="3:5" x14ac:dyDescent="0.4">
      <c r="C1888" s="31"/>
      <c r="E1888" s="30"/>
    </row>
    <row r="1889" spans="3:5" x14ac:dyDescent="0.4">
      <c r="C1889" s="31"/>
      <c r="E1889" s="30"/>
    </row>
    <row r="1890" spans="3:5" x14ac:dyDescent="0.4">
      <c r="C1890" s="31"/>
      <c r="E1890" s="30"/>
    </row>
    <row r="1891" spans="3:5" x14ac:dyDescent="0.4">
      <c r="C1891" s="31"/>
      <c r="E1891" s="30"/>
    </row>
    <row r="1892" spans="3:5" x14ac:dyDescent="0.4">
      <c r="C1892" s="31"/>
      <c r="E1892" s="30"/>
    </row>
    <row r="1893" spans="3:5" x14ac:dyDescent="0.4">
      <c r="C1893" s="31"/>
      <c r="E1893" s="30"/>
    </row>
    <row r="1894" spans="3:5" x14ac:dyDescent="0.4">
      <c r="C1894" s="31"/>
      <c r="E1894" s="30"/>
    </row>
    <row r="1895" spans="3:5" x14ac:dyDescent="0.4">
      <c r="C1895" s="31"/>
      <c r="E1895" s="30"/>
    </row>
    <row r="1896" spans="3:5" x14ac:dyDescent="0.4">
      <c r="C1896" s="31"/>
      <c r="E1896" s="30"/>
    </row>
    <row r="1897" spans="3:5" x14ac:dyDescent="0.4">
      <c r="C1897" s="31"/>
      <c r="E1897" s="30"/>
    </row>
    <row r="1898" spans="3:5" x14ac:dyDescent="0.4">
      <c r="C1898" s="31"/>
      <c r="E1898" s="30"/>
    </row>
    <row r="1899" spans="3:5" x14ac:dyDescent="0.4">
      <c r="C1899" s="31"/>
      <c r="E1899" s="30"/>
    </row>
    <row r="1900" spans="3:5" x14ac:dyDescent="0.4">
      <c r="C1900" s="31"/>
      <c r="E1900" s="30"/>
    </row>
    <row r="1901" spans="3:5" x14ac:dyDescent="0.4">
      <c r="C1901" s="31"/>
      <c r="E1901" s="30"/>
    </row>
    <row r="1902" spans="3:5" x14ac:dyDescent="0.4">
      <c r="C1902" s="31"/>
      <c r="E1902" s="30"/>
    </row>
    <row r="1903" spans="3:5" x14ac:dyDescent="0.4">
      <c r="C1903" s="31"/>
      <c r="E1903" s="30"/>
    </row>
    <row r="1904" spans="3:5" x14ac:dyDescent="0.4">
      <c r="C1904" s="31"/>
      <c r="E1904" s="30"/>
    </row>
    <row r="1905" spans="3:5" x14ac:dyDescent="0.4">
      <c r="C1905" s="31"/>
      <c r="E1905" s="30"/>
    </row>
    <row r="1906" spans="3:5" x14ac:dyDescent="0.4">
      <c r="C1906" s="31"/>
      <c r="E1906" s="30"/>
    </row>
    <row r="1907" spans="3:5" x14ac:dyDescent="0.4">
      <c r="C1907" s="31"/>
      <c r="E1907" s="30"/>
    </row>
    <row r="1908" spans="3:5" x14ac:dyDescent="0.4">
      <c r="C1908" s="31"/>
      <c r="E1908" s="30"/>
    </row>
    <row r="1909" spans="3:5" x14ac:dyDescent="0.4">
      <c r="C1909" s="31"/>
      <c r="E1909" s="30"/>
    </row>
    <row r="1910" spans="3:5" x14ac:dyDescent="0.4">
      <c r="C1910" s="31"/>
      <c r="E1910" s="30"/>
    </row>
    <row r="1911" spans="3:5" x14ac:dyDescent="0.4">
      <c r="C1911" s="31"/>
      <c r="E1911" s="30"/>
    </row>
    <row r="1912" spans="3:5" x14ac:dyDescent="0.4">
      <c r="C1912" s="31"/>
      <c r="E1912" s="30"/>
    </row>
    <row r="1913" spans="3:5" x14ac:dyDescent="0.4">
      <c r="C1913" s="31"/>
      <c r="E1913" s="30"/>
    </row>
    <row r="1914" spans="3:5" x14ac:dyDescent="0.4">
      <c r="C1914" s="31"/>
      <c r="E1914" s="30"/>
    </row>
    <row r="1915" spans="3:5" x14ac:dyDescent="0.4">
      <c r="C1915" s="31"/>
      <c r="E1915" s="30"/>
    </row>
    <row r="1916" spans="3:5" x14ac:dyDescent="0.4">
      <c r="C1916" s="31"/>
      <c r="E1916" s="30"/>
    </row>
    <row r="1917" spans="3:5" x14ac:dyDescent="0.4">
      <c r="C1917" s="31"/>
      <c r="E1917" s="30"/>
    </row>
    <row r="1918" spans="3:5" x14ac:dyDescent="0.4">
      <c r="C1918" s="31"/>
      <c r="E1918" s="30"/>
    </row>
    <row r="1919" spans="3:5" x14ac:dyDescent="0.4">
      <c r="C1919" s="31"/>
      <c r="E1919" s="30"/>
    </row>
    <row r="1920" spans="3:5" x14ac:dyDescent="0.4">
      <c r="C1920" s="31"/>
      <c r="E1920" s="30"/>
    </row>
    <row r="1921" spans="3:5" x14ac:dyDescent="0.4">
      <c r="C1921" s="31"/>
      <c r="E1921" s="30"/>
    </row>
    <row r="1922" spans="3:5" x14ac:dyDescent="0.4">
      <c r="C1922" s="31"/>
      <c r="E1922" s="30"/>
    </row>
    <row r="1923" spans="3:5" x14ac:dyDescent="0.4">
      <c r="C1923" s="31"/>
      <c r="E1923" s="30"/>
    </row>
    <row r="1924" spans="3:5" x14ac:dyDescent="0.4">
      <c r="C1924" s="31"/>
      <c r="E1924" s="30"/>
    </row>
    <row r="1925" spans="3:5" x14ac:dyDescent="0.4">
      <c r="C1925" s="31"/>
      <c r="E1925" s="30"/>
    </row>
    <row r="1926" spans="3:5" x14ac:dyDescent="0.4">
      <c r="C1926" s="31"/>
      <c r="E1926" s="30"/>
    </row>
    <row r="1927" spans="3:5" x14ac:dyDescent="0.4">
      <c r="C1927" s="31"/>
      <c r="E1927" s="30"/>
    </row>
    <row r="1928" spans="3:5" x14ac:dyDescent="0.4">
      <c r="C1928" s="31"/>
      <c r="E1928" s="30"/>
    </row>
    <row r="1929" spans="3:5" x14ac:dyDescent="0.4">
      <c r="C1929" s="31"/>
      <c r="E1929" s="30"/>
    </row>
    <row r="1930" spans="3:5" x14ac:dyDescent="0.4">
      <c r="C1930" s="31"/>
      <c r="E1930" s="30"/>
    </row>
    <row r="1931" spans="3:5" x14ac:dyDescent="0.4">
      <c r="C1931" s="31"/>
      <c r="E1931" s="30"/>
    </row>
    <row r="1932" spans="3:5" x14ac:dyDescent="0.4">
      <c r="C1932" s="31"/>
      <c r="E1932" s="30"/>
    </row>
    <row r="1933" spans="3:5" x14ac:dyDescent="0.4">
      <c r="C1933" s="31"/>
      <c r="E1933" s="30"/>
    </row>
    <row r="1934" spans="3:5" x14ac:dyDescent="0.4">
      <c r="C1934" s="31"/>
      <c r="E1934" s="30"/>
    </row>
    <row r="1935" spans="3:5" x14ac:dyDescent="0.4">
      <c r="C1935" s="31"/>
      <c r="E1935" s="30"/>
    </row>
    <row r="1936" spans="3:5" x14ac:dyDescent="0.4">
      <c r="C1936" s="31"/>
      <c r="E1936" s="30"/>
    </row>
    <row r="1937" spans="3:5" x14ac:dyDescent="0.4">
      <c r="C1937" s="31"/>
      <c r="E1937" s="30"/>
    </row>
    <row r="1938" spans="3:5" x14ac:dyDescent="0.4">
      <c r="C1938" s="31"/>
      <c r="E1938" s="30"/>
    </row>
    <row r="1939" spans="3:5" x14ac:dyDescent="0.4">
      <c r="C1939" s="31"/>
      <c r="E1939" s="30"/>
    </row>
    <row r="1940" spans="3:5" x14ac:dyDescent="0.4">
      <c r="C1940" s="31"/>
      <c r="E1940" s="30"/>
    </row>
    <row r="1941" spans="3:5" x14ac:dyDescent="0.4">
      <c r="C1941" s="31"/>
      <c r="E1941" s="30"/>
    </row>
    <row r="1942" spans="3:5" x14ac:dyDescent="0.4">
      <c r="C1942" s="31"/>
      <c r="E1942" s="30"/>
    </row>
    <row r="1943" spans="3:5" x14ac:dyDescent="0.4">
      <c r="C1943" s="31"/>
      <c r="E1943" s="30"/>
    </row>
    <row r="1944" spans="3:5" x14ac:dyDescent="0.4">
      <c r="C1944" s="31"/>
      <c r="E1944" s="30"/>
    </row>
    <row r="1945" spans="3:5" x14ac:dyDescent="0.4">
      <c r="C1945" s="31"/>
      <c r="E1945" s="30"/>
    </row>
    <row r="1946" spans="3:5" x14ac:dyDescent="0.4">
      <c r="C1946" s="31"/>
      <c r="E1946" s="30"/>
    </row>
    <row r="1947" spans="3:5" x14ac:dyDescent="0.4">
      <c r="C1947" s="31"/>
      <c r="E1947" s="30"/>
    </row>
    <row r="1948" spans="3:5" x14ac:dyDescent="0.4">
      <c r="C1948" s="31"/>
      <c r="E1948" s="30"/>
    </row>
    <row r="1949" spans="3:5" x14ac:dyDescent="0.4">
      <c r="C1949" s="31"/>
      <c r="E1949" s="30"/>
    </row>
    <row r="1950" spans="3:5" x14ac:dyDescent="0.4">
      <c r="C1950" s="31"/>
      <c r="E1950" s="30"/>
    </row>
    <row r="1951" spans="3:5" x14ac:dyDescent="0.4">
      <c r="C1951" s="31"/>
      <c r="E1951" s="30"/>
    </row>
    <row r="1952" spans="3:5" x14ac:dyDescent="0.4">
      <c r="C1952" s="31"/>
      <c r="E1952" s="30"/>
    </row>
    <row r="1953" spans="3:5" x14ac:dyDescent="0.4">
      <c r="C1953" s="31"/>
      <c r="E1953" s="30"/>
    </row>
    <row r="1954" spans="3:5" x14ac:dyDescent="0.4">
      <c r="C1954" s="31"/>
      <c r="E1954" s="30"/>
    </row>
    <row r="1955" spans="3:5" x14ac:dyDescent="0.4">
      <c r="C1955" s="31"/>
      <c r="E1955" s="30"/>
    </row>
    <row r="1956" spans="3:5" x14ac:dyDescent="0.4">
      <c r="C1956" s="31"/>
      <c r="E1956" s="30"/>
    </row>
    <row r="1957" spans="3:5" x14ac:dyDescent="0.4">
      <c r="C1957" s="31"/>
      <c r="E1957" s="30"/>
    </row>
    <row r="1958" spans="3:5" x14ac:dyDescent="0.4">
      <c r="C1958" s="31"/>
      <c r="E1958" s="30"/>
    </row>
    <row r="1959" spans="3:5" x14ac:dyDescent="0.4">
      <c r="C1959" s="31"/>
      <c r="E1959" s="30"/>
    </row>
    <row r="1960" spans="3:5" x14ac:dyDescent="0.4">
      <c r="C1960" s="31"/>
      <c r="E1960" s="30"/>
    </row>
    <row r="1961" spans="3:5" x14ac:dyDescent="0.4">
      <c r="C1961" s="31"/>
      <c r="E1961" s="30"/>
    </row>
    <row r="1962" spans="3:5" x14ac:dyDescent="0.4">
      <c r="C1962" s="31"/>
      <c r="E1962" s="30"/>
    </row>
    <row r="1963" spans="3:5" x14ac:dyDescent="0.4">
      <c r="C1963" s="31"/>
      <c r="E1963" s="30"/>
    </row>
    <row r="1964" spans="3:5" x14ac:dyDescent="0.4">
      <c r="C1964" s="31"/>
      <c r="E1964" s="30"/>
    </row>
    <row r="1965" spans="3:5" x14ac:dyDescent="0.4">
      <c r="C1965" s="31"/>
      <c r="E1965" s="30"/>
    </row>
    <row r="1966" spans="3:5" x14ac:dyDescent="0.4">
      <c r="C1966" s="31"/>
      <c r="E1966" s="30"/>
    </row>
    <row r="1967" spans="3:5" x14ac:dyDescent="0.4">
      <c r="C1967" s="31"/>
      <c r="E1967" s="30"/>
    </row>
    <row r="1968" spans="3:5" x14ac:dyDescent="0.4">
      <c r="C1968" s="31"/>
      <c r="E1968" s="30"/>
    </row>
    <row r="1969" spans="3:5" x14ac:dyDescent="0.4">
      <c r="C1969" s="31"/>
      <c r="E1969" s="30"/>
    </row>
    <row r="1970" spans="3:5" x14ac:dyDescent="0.4">
      <c r="C1970" s="31"/>
      <c r="E1970" s="30"/>
    </row>
    <row r="1971" spans="3:5" x14ac:dyDescent="0.4">
      <c r="C1971" s="31"/>
      <c r="E1971" s="30"/>
    </row>
    <row r="1972" spans="3:5" x14ac:dyDescent="0.4">
      <c r="C1972" s="31"/>
      <c r="E1972" s="30"/>
    </row>
    <row r="1973" spans="3:5" x14ac:dyDescent="0.4">
      <c r="C1973" s="31"/>
      <c r="E1973" s="30"/>
    </row>
    <row r="1974" spans="3:5" x14ac:dyDescent="0.4">
      <c r="C1974" s="31"/>
      <c r="E1974" s="30"/>
    </row>
    <row r="1975" spans="3:5" x14ac:dyDescent="0.4">
      <c r="C1975" s="31"/>
      <c r="E1975" s="30"/>
    </row>
    <row r="1976" spans="3:5" x14ac:dyDescent="0.4">
      <c r="C1976" s="31"/>
      <c r="E1976" s="30"/>
    </row>
    <row r="1977" spans="3:5" x14ac:dyDescent="0.4">
      <c r="C1977" s="31"/>
      <c r="E1977" s="30"/>
    </row>
    <row r="1978" spans="3:5" x14ac:dyDescent="0.4">
      <c r="C1978" s="31"/>
      <c r="E1978" s="30"/>
    </row>
    <row r="1979" spans="3:5" x14ac:dyDescent="0.4">
      <c r="C1979" s="31"/>
      <c r="E1979" s="30"/>
    </row>
    <row r="1980" spans="3:5" x14ac:dyDescent="0.4">
      <c r="C1980" s="31"/>
      <c r="E1980" s="30"/>
    </row>
    <row r="1981" spans="3:5" x14ac:dyDescent="0.4">
      <c r="C1981" s="31"/>
      <c r="E1981" s="30"/>
    </row>
    <row r="1982" spans="3:5" x14ac:dyDescent="0.4">
      <c r="C1982" s="31"/>
      <c r="E1982" s="30"/>
    </row>
    <row r="1983" spans="3:5" x14ac:dyDescent="0.4">
      <c r="C1983" s="31"/>
      <c r="E1983" s="30"/>
    </row>
    <row r="1984" spans="3:5" x14ac:dyDescent="0.4">
      <c r="C1984" s="31"/>
      <c r="E1984" s="30"/>
    </row>
    <row r="1985" spans="3:5" x14ac:dyDescent="0.4">
      <c r="C1985" s="31"/>
      <c r="E1985" s="30"/>
    </row>
    <row r="1986" spans="3:5" x14ac:dyDescent="0.4">
      <c r="C1986" s="31"/>
      <c r="E1986" s="30"/>
    </row>
    <row r="1987" spans="3:5" x14ac:dyDescent="0.4">
      <c r="C1987" s="31"/>
      <c r="E1987" s="30"/>
    </row>
    <row r="1988" spans="3:5" x14ac:dyDescent="0.4">
      <c r="C1988" s="31"/>
      <c r="E1988" s="30"/>
    </row>
    <row r="1989" spans="3:5" x14ac:dyDescent="0.4">
      <c r="C1989" s="31"/>
      <c r="E1989" s="30"/>
    </row>
    <row r="1990" spans="3:5" x14ac:dyDescent="0.4">
      <c r="C1990" s="31"/>
      <c r="E1990" s="30"/>
    </row>
    <row r="1991" spans="3:5" x14ac:dyDescent="0.4">
      <c r="C1991" s="31"/>
      <c r="E1991" s="30"/>
    </row>
    <row r="1992" spans="3:5" x14ac:dyDescent="0.4">
      <c r="C1992" s="31"/>
      <c r="E1992" s="30"/>
    </row>
    <row r="1993" spans="3:5" x14ac:dyDescent="0.4">
      <c r="C1993" s="31"/>
      <c r="E1993" s="30"/>
    </row>
    <row r="1994" spans="3:5" x14ac:dyDescent="0.4">
      <c r="C1994" s="31"/>
      <c r="E1994" s="30"/>
    </row>
    <row r="1995" spans="3:5" x14ac:dyDescent="0.4">
      <c r="C1995" s="31"/>
      <c r="E1995" s="30"/>
    </row>
    <row r="1996" spans="3:5" x14ac:dyDescent="0.4">
      <c r="C1996" s="31"/>
      <c r="E1996" s="30"/>
    </row>
    <row r="1997" spans="3:5" x14ac:dyDescent="0.4">
      <c r="C1997" s="31"/>
      <c r="E1997" s="30"/>
    </row>
    <row r="1998" spans="3:5" x14ac:dyDescent="0.4">
      <c r="C1998" s="31"/>
      <c r="E1998" s="30"/>
    </row>
    <row r="1999" spans="3:5" x14ac:dyDescent="0.4">
      <c r="C1999" s="31"/>
      <c r="E1999" s="30"/>
    </row>
    <row r="2000" spans="3:5" x14ac:dyDescent="0.4">
      <c r="C2000" s="31"/>
      <c r="E2000" s="30"/>
    </row>
    <row r="2001" spans="3:5" x14ac:dyDescent="0.4">
      <c r="C2001" s="31"/>
      <c r="E2001" s="30"/>
    </row>
    <row r="2002" spans="3:5" x14ac:dyDescent="0.4">
      <c r="C2002" s="31"/>
      <c r="E2002" s="30"/>
    </row>
    <row r="2003" spans="3:5" x14ac:dyDescent="0.4">
      <c r="C2003" s="31"/>
      <c r="E2003" s="30"/>
    </row>
    <row r="2004" spans="3:5" x14ac:dyDescent="0.4">
      <c r="C2004" s="31"/>
      <c r="E2004" s="30"/>
    </row>
    <row r="2005" spans="3:5" x14ac:dyDescent="0.4">
      <c r="C2005" s="31"/>
      <c r="E2005" s="30"/>
    </row>
    <row r="2006" spans="3:5" x14ac:dyDescent="0.4">
      <c r="C2006" s="31"/>
      <c r="E2006" s="30"/>
    </row>
    <row r="2007" spans="3:5" x14ac:dyDescent="0.4">
      <c r="C2007" s="31"/>
      <c r="E2007" s="30"/>
    </row>
    <row r="2008" spans="3:5" x14ac:dyDescent="0.4">
      <c r="C2008" s="31"/>
      <c r="E2008" s="30"/>
    </row>
    <row r="2009" spans="3:5" x14ac:dyDescent="0.4">
      <c r="C2009" s="31"/>
      <c r="E2009" s="30"/>
    </row>
    <row r="2010" spans="3:5" x14ac:dyDescent="0.4">
      <c r="C2010" s="31"/>
      <c r="E2010" s="30"/>
    </row>
    <row r="2011" spans="3:5" x14ac:dyDescent="0.4">
      <c r="C2011" s="31"/>
      <c r="E2011" s="30"/>
    </row>
    <row r="2012" spans="3:5" x14ac:dyDescent="0.4">
      <c r="C2012" s="31"/>
      <c r="E2012" s="30"/>
    </row>
    <row r="2013" spans="3:5" x14ac:dyDescent="0.4">
      <c r="C2013" s="31"/>
      <c r="E2013" s="30"/>
    </row>
    <row r="2014" spans="3:5" x14ac:dyDescent="0.4">
      <c r="C2014" s="31"/>
      <c r="E2014" s="30"/>
    </row>
    <row r="2015" spans="3:5" x14ac:dyDescent="0.4">
      <c r="C2015" s="31"/>
      <c r="E2015" s="30"/>
    </row>
    <row r="2016" spans="3:5" x14ac:dyDescent="0.4">
      <c r="C2016" s="31"/>
      <c r="E2016" s="30"/>
    </row>
    <row r="2017" spans="3:5" x14ac:dyDescent="0.4">
      <c r="C2017" s="31"/>
      <c r="E2017" s="30"/>
    </row>
    <row r="2018" spans="3:5" x14ac:dyDescent="0.4">
      <c r="C2018" s="31"/>
      <c r="E2018" s="30"/>
    </row>
    <row r="2019" spans="3:5" x14ac:dyDescent="0.4">
      <c r="C2019" s="31"/>
      <c r="E2019" s="30"/>
    </row>
    <row r="2020" spans="3:5" x14ac:dyDescent="0.4">
      <c r="C2020" s="31"/>
      <c r="E2020" s="30"/>
    </row>
    <row r="2021" spans="3:5" x14ac:dyDescent="0.4">
      <c r="C2021" s="31"/>
      <c r="E2021" s="30"/>
    </row>
    <row r="2022" spans="3:5" x14ac:dyDescent="0.4">
      <c r="C2022" s="31"/>
      <c r="E2022" s="30"/>
    </row>
    <row r="2023" spans="3:5" x14ac:dyDescent="0.4">
      <c r="C2023" s="31"/>
      <c r="E2023" s="30"/>
    </row>
    <row r="2024" spans="3:5" x14ac:dyDescent="0.4">
      <c r="C2024" s="31"/>
      <c r="E2024" s="30"/>
    </row>
    <row r="2025" spans="3:5" x14ac:dyDescent="0.4">
      <c r="C2025" s="31"/>
      <c r="E2025" s="30"/>
    </row>
    <row r="2026" spans="3:5" x14ac:dyDescent="0.4">
      <c r="C2026" s="31"/>
      <c r="E2026" s="30"/>
    </row>
    <row r="2027" spans="3:5" x14ac:dyDescent="0.4">
      <c r="C2027" s="31"/>
      <c r="E2027" s="30"/>
    </row>
    <row r="2028" spans="3:5" x14ac:dyDescent="0.4">
      <c r="C2028" s="31"/>
      <c r="E2028" s="30"/>
    </row>
    <row r="2029" spans="3:5" x14ac:dyDescent="0.4">
      <c r="C2029" s="31"/>
      <c r="E2029" s="30"/>
    </row>
    <row r="2030" spans="3:5" x14ac:dyDescent="0.4">
      <c r="C2030" s="31"/>
      <c r="E2030" s="30"/>
    </row>
    <row r="2031" spans="3:5" x14ac:dyDescent="0.4">
      <c r="C2031" s="31"/>
      <c r="E2031" s="30"/>
    </row>
    <row r="2032" spans="3:5" x14ac:dyDescent="0.4">
      <c r="C2032" s="31"/>
      <c r="E2032" s="30"/>
    </row>
    <row r="2033" spans="3:5" x14ac:dyDescent="0.4">
      <c r="C2033" s="31"/>
      <c r="E2033" s="30"/>
    </row>
    <row r="2034" spans="3:5" x14ac:dyDescent="0.4">
      <c r="C2034" s="31"/>
      <c r="E2034" s="30"/>
    </row>
    <row r="2035" spans="3:5" x14ac:dyDescent="0.4">
      <c r="C2035" s="31"/>
      <c r="E2035" s="30"/>
    </row>
    <row r="2036" spans="3:5" x14ac:dyDescent="0.4">
      <c r="C2036" s="31"/>
      <c r="E2036" s="30"/>
    </row>
    <row r="2037" spans="3:5" x14ac:dyDescent="0.4">
      <c r="C2037" s="31"/>
      <c r="E2037" s="30"/>
    </row>
    <row r="2038" spans="3:5" x14ac:dyDescent="0.4">
      <c r="C2038" s="31"/>
      <c r="E2038" s="30"/>
    </row>
    <row r="2039" spans="3:5" x14ac:dyDescent="0.4">
      <c r="C2039" s="31"/>
      <c r="E2039" s="30"/>
    </row>
    <row r="2040" spans="3:5" x14ac:dyDescent="0.4">
      <c r="C2040" s="31"/>
      <c r="E2040" s="30"/>
    </row>
    <row r="2041" spans="3:5" x14ac:dyDescent="0.4">
      <c r="C2041" s="31"/>
      <c r="E2041" s="30"/>
    </row>
    <row r="2042" spans="3:5" x14ac:dyDescent="0.4">
      <c r="C2042" s="31"/>
      <c r="E2042" s="30"/>
    </row>
    <row r="2043" spans="3:5" x14ac:dyDescent="0.4">
      <c r="C2043" s="31"/>
      <c r="E2043" s="30"/>
    </row>
    <row r="2044" spans="3:5" x14ac:dyDescent="0.4">
      <c r="C2044" s="31"/>
      <c r="E2044" s="30"/>
    </row>
    <row r="2045" spans="3:5" x14ac:dyDescent="0.4">
      <c r="C2045" s="31"/>
      <c r="E2045" s="30"/>
    </row>
    <row r="2046" spans="3:5" x14ac:dyDescent="0.4">
      <c r="C2046" s="31"/>
      <c r="E2046" s="30"/>
    </row>
    <row r="2047" spans="3:5" x14ac:dyDescent="0.4">
      <c r="C2047" s="31"/>
      <c r="E2047" s="30"/>
    </row>
    <row r="2048" spans="3:5" x14ac:dyDescent="0.4">
      <c r="C2048" s="31"/>
      <c r="E2048" s="30"/>
    </row>
    <row r="2049" spans="3:5" x14ac:dyDescent="0.4">
      <c r="C2049" s="31"/>
      <c r="E2049" s="30"/>
    </row>
    <row r="2050" spans="3:5" x14ac:dyDescent="0.4">
      <c r="C2050" s="31"/>
      <c r="E2050" s="30"/>
    </row>
    <row r="2051" spans="3:5" x14ac:dyDescent="0.4">
      <c r="C2051" s="31"/>
      <c r="E2051" s="30"/>
    </row>
    <row r="2052" spans="3:5" x14ac:dyDescent="0.4">
      <c r="C2052" s="31"/>
      <c r="E2052" s="30"/>
    </row>
    <row r="2053" spans="3:5" x14ac:dyDescent="0.4">
      <c r="C2053" s="31"/>
      <c r="E2053" s="30"/>
    </row>
    <row r="2054" spans="3:5" x14ac:dyDescent="0.4">
      <c r="C2054" s="31"/>
      <c r="E2054" s="30"/>
    </row>
    <row r="2055" spans="3:5" x14ac:dyDescent="0.4">
      <c r="C2055" s="31"/>
      <c r="E2055" s="30"/>
    </row>
    <row r="2056" spans="3:5" x14ac:dyDescent="0.4">
      <c r="C2056" s="31"/>
      <c r="E2056" s="30"/>
    </row>
    <row r="2057" spans="3:5" x14ac:dyDescent="0.4">
      <c r="C2057" s="31"/>
      <c r="E2057" s="30"/>
    </row>
    <row r="2058" spans="3:5" x14ac:dyDescent="0.4">
      <c r="C2058" s="31"/>
      <c r="E2058" s="30"/>
    </row>
    <row r="2059" spans="3:5" x14ac:dyDescent="0.4">
      <c r="C2059" s="31"/>
      <c r="E2059" s="30"/>
    </row>
    <row r="2060" spans="3:5" x14ac:dyDescent="0.4">
      <c r="C2060" s="31"/>
      <c r="E2060" s="30"/>
    </row>
    <row r="2061" spans="3:5" x14ac:dyDescent="0.4">
      <c r="C2061" s="31"/>
      <c r="E2061" s="30"/>
    </row>
    <row r="2062" spans="3:5" x14ac:dyDescent="0.4">
      <c r="C2062" s="31"/>
      <c r="E2062" s="30"/>
    </row>
    <row r="2063" spans="3:5" x14ac:dyDescent="0.4">
      <c r="C2063" s="31"/>
      <c r="E2063" s="30"/>
    </row>
    <row r="2064" spans="3:5" x14ac:dyDescent="0.4">
      <c r="C2064" s="31"/>
      <c r="E2064" s="30"/>
    </row>
    <row r="2065" spans="3:5" x14ac:dyDescent="0.4">
      <c r="C2065" s="31"/>
      <c r="E2065" s="30"/>
    </row>
    <row r="2066" spans="3:5" x14ac:dyDescent="0.4">
      <c r="C2066" s="31"/>
      <c r="E2066" s="30"/>
    </row>
    <row r="2067" spans="3:5" x14ac:dyDescent="0.4">
      <c r="C2067" s="31"/>
      <c r="E2067" s="30"/>
    </row>
    <row r="2068" spans="3:5" x14ac:dyDescent="0.4">
      <c r="C2068" s="31"/>
      <c r="E2068" s="30"/>
    </row>
    <row r="2069" spans="3:5" x14ac:dyDescent="0.4">
      <c r="C2069" s="31"/>
      <c r="E2069" s="30"/>
    </row>
    <row r="2070" spans="3:5" x14ac:dyDescent="0.4">
      <c r="C2070" s="31"/>
      <c r="E2070" s="30"/>
    </row>
    <row r="2071" spans="3:5" x14ac:dyDescent="0.4">
      <c r="C2071" s="31"/>
      <c r="E2071" s="30"/>
    </row>
    <row r="2072" spans="3:5" x14ac:dyDescent="0.4">
      <c r="C2072" s="31"/>
      <c r="E2072" s="30"/>
    </row>
    <row r="2073" spans="3:5" x14ac:dyDescent="0.4">
      <c r="C2073" s="31"/>
      <c r="E2073" s="30"/>
    </row>
    <row r="2074" spans="3:5" x14ac:dyDescent="0.4">
      <c r="C2074" s="31"/>
      <c r="E2074" s="30"/>
    </row>
    <row r="2075" spans="3:5" x14ac:dyDescent="0.4">
      <c r="C2075" s="31"/>
      <c r="E2075" s="30"/>
    </row>
    <row r="2076" spans="3:5" x14ac:dyDescent="0.4">
      <c r="C2076" s="31"/>
      <c r="E2076" s="30"/>
    </row>
    <row r="2077" spans="3:5" x14ac:dyDescent="0.4">
      <c r="C2077" s="31"/>
      <c r="E2077" s="30"/>
    </row>
    <row r="2078" spans="3:5" x14ac:dyDescent="0.4">
      <c r="C2078" s="31"/>
      <c r="E2078" s="30"/>
    </row>
    <row r="2079" spans="3:5" x14ac:dyDescent="0.4">
      <c r="C2079" s="31"/>
      <c r="E2079" s="30"/>
    </row>
    <row r="2080" spans="3:5" x14ac:dyDescent="0.4">
      <c r="C2080" s="31"/>
      <c r="E2080" s="30"/>
    </row>
    <row r="2081" spans="3:5" x14ac:dyDescent="0.4">
      <c r="C2081" s="31"/>
      <c r="E2081" s="30"/>
    </row>
    <row r="2082" spans="3:5" x14ac:dyDescent="0.4">
      <c r="C2082" s="31"/>
      <c r="E2082" s="30"/>
    </row>
    <row r="2083" spans="3:5" x14ac:dyDescent="0.4">
      <c r="C2083" s="31"/>
      <c r="E2083" s="30"/>
    </row>
    <row r="2084" spans="3:5" x14ac:dyDescent="0.4">
      <c r="C2084" s="31"/>
      <c r="E2084" s="30"/>
    </row>
    <row r="2085" spans="3:5" x14ac:dyDescent="0.4">
      <c r="C2085" s="31"/>
      <c r="E2085" s="30"/>
    </row>
    <row r="2086" spans="3:5" x14ac:dyDescent="0.4">
      <c r="C2086" s="31"/>
      <c r="E2086" s="30"/>
    </row>
    <row r="2087" spans="3:5" x14ac:dyDescent="0.4">
      <c r="C2087" s="31"/>
      <c r="E2087" s="30"/>
    </row>
    <row r="2088" spans="3:5" x14ac:dyDescent="0.4">
      <c r="C2088" s="31"/>
      <c r="E2088" s="30"/>
    </row>
    <row r="2089" spans="3:5" x14ac:dyDescent="0.4">
      <c r="C2089" s="31"/>
      <c r="E2089" s="30"/>
    </row>
    <row r="2090" spans="3:5" x14ac:dyDescent="0.4">
      <c r="C2090" s="31"/>
      <c r="E2090" s="30"/>
    </row>
    <row r="2091" spans="3:5" x14ac:dyDescent="0.4">
      <c r="C2091" s="31"/>
      <c r="E2091" s="30"/>
    </row>
    <row r="2092" spans="3:5" x14ac:dyDescent="0.4">
      <c r="C2092" s="31"/>
      <c r="E2092" s="30"/>
    </row>
    <row r="2093" spans="3:5" x14ac:dyDescent="0.4">
      <c r="C2093" s="31"/>
      <c r="E2093" s="30"/>
    </row>
    <row r="2094" spans="3:5" x14ac:dyDescent="0.4">
      <c r="C2094" s="31"/>
      <c r="E2094" s="30"/>
    </row>
    <row r="2095" spans="3:5" x14ac:dyDescent="0.4">
      <c r="C2095" s="31"/>
      <c r="E2095" s="30"/>
    </row>
    <row r="2096" spans="3:5" x14ac:dyDescent="0.4">
      <c r="C2096" s="31"/>
      <c r="E2096" s="30"/>
    </row>
    <row r="2097" spans="3:5" x14ac:dyDescent="0.4">
      <c r="C2097" s="31"/>
      <c r="E2097" s="30"/>
    </row>
    <row r="2098" spans="3:5" x14ac:dyDescent="0.4">
      <c r="C2098" s="31"/>
      <c r="E2098" s="30"/>
    </row>
    <row r="2099" spans="3:5" x14ac:dyDescent="0.4">
      <c r="C2099" s="31"/>
      <c r="E2099" s="30"/>
    </row>
    <row r="2100" spans="3:5" x14ac:dyDescent="0.4">
      <c r="C2100" s="31"/>
      <c r="E2100" s="30"/>
    </row>
    <row r="2101" spans="3:5" x14ac:dyDescent="0.4">
      <c r="C2101" s="31"/>
      <c r="E2101" s="30"/>
    </row>
    <row r="2102" spans="3:5" x14ac:dyDescent="0.4">
      <c r="C2102" s="31"/>
      <c r="E2102" s="30"/>
    </row>
    <row r="2103" spans="3:5" x14ac:dyDescent="0.4">
      <c r="C2103" s="31"/>
      <c r="E2103" s="30"/>
    </row>
    <row r="2104" spans="3:5" x14ac:dyDescent="0.4">
      <c r="C2104" s="31"/>
      <c r="E2104" s="30"/>
    </row>
    <row r="2105" spans="3:5" x14ac:dyDescent="0.4">
      <c r="C2105" s="31"/>
      <c r="E2105" s="30"/>
    </row>
    <row r="2106" spans="3:5" x14ac:dyDescent="0.4">
      <c r="C2106" s="31"/>
      <c r="E2106" s="30"/>
    </row>
    <row r="2107" spans="3:5" x14ac:dyDescent="0.4">
      <c r="C2107" s="31"/>
      <c r="E2107" s="30"/>
    </row>
    <row r="2108" spans="3:5" x14ac:dyDescent="0.4">
      <c r="C2108" s="31"/>
      <c r="E2108" s="30"/>
    </row>
    <row r="2109" spans="3:5" x14ac:dyDescent="0.4">
      <c r="C2109" s="31"/>
      <c r="E2109" s="30"/>
    </row>
    <row r="2110" spans="3:5" x14ac:dyDescent="0.4">
      <c r="C2110" s="31"/>
      <c r="E2110" s="30"/>
    </row>
    <row r="2111" spans="3:5" x14ac:dyDescent="0.4">
      <c r="C2111" s="31"/>
      <c r="E2111" s="30"/>
    </row>
    <row r="2112" spans="3:5" x14ac:dyDescent="0.4">
      <c r="C2112" s="31"/>
      <c r="E2112" s="30"/>
    </row>
    <row r="2113" spans="3:5" x14ac:dyDescent="0.4">
      <c r="C2113" s="31"/>
      <c r="E2113" s="30"/>
    </row>
    <row r="2114" spans="3:5" x14ac:dyDescent="0.4">
      <c r="C2114" s="31"/>
      <c r="E2114" s="30"/>
    </row>
    <row r="2115" spans="3:5" x14ac:dyDescent="0.4">
      <c r="C2115" s="31"/>
      <c r="E2115" s="30"/>
    </row>
    <row r="2116" spans="3:5" x14ac:dyDescent="0.4">
      <c r="C2116" s="31"/>
      <c r="E2116" s="30"/>
    </row>
    <row r="2117" spans="3:5" x14ac:dyDescent="0.4">
      <c r="C2117" s="31"/>
      <c r="E2117" s="30"/>
    </row>
    <row r="2118" spans="3:5" x14ac:dyDescent="0.4">
      <c r="C2118" s="31"/>
      <c r="E2118" s="30"/>
    </row>
    <row r="2119" spans="3:5" x14ac:dyDescent="0.4">
      <c r="C2119" s="31"/>
      <c r="E2119" s="30"/>
    </row>
    <row r="2120" spans="3:5" x14ac:dyDescent="0.4">
      <c r="C2120" s="31"/>
      <c r="E2120" s="30"/>
    </row>
    <row r="2121" spans="3:5" x14ac:dyDescent="0.4">
      <c r="C2121" s="31"/>
      <c r="E2121" s="30"/>
    </row>
    <row r="2122" spans="3:5" x14ac:dyDescent="0.4">
      <c r="C2122" s="31"/>
      <c r="E2122" s="30"/>
    </row>
    <row r="2123" spans="3:5" x14ac:dyDescent="0.4">
      <c r="C2123" s="31"/>
      <c r="E2123" s="30"/>
    </row>
    <row r="2124" spans="3:5" x14ac:dyDescent="0.4">
      <c r="C2124" s="31"/>
      <c r="E2124" s="30"/>
    </row>
    <row r="2125" spans="3:5" x14ac:dyDescent="0.4">
      <c r="C2125" s="31"/>
      <c r="E2125" s="30"/>
    </row>
    <row r="2126" spans="3:5" x14ac:dyDescent="0.4">
      <c r="C2126" s="31"/>
      <c r="E2126" s="30"/>
    </row>
    <row r="2127" spans="3:5" x14ac:dyDescent="0.4">
      <c r="C2127" s="31"/>
      <c r="E2127" s="30"/>
    </row>
    <row r="2128" spans="3:5" x14ac:dyDescent="0.4">
      <c r="C2128" s="31"/>
      <c r="E2128" s="30"/>
    </row>
    <row r="2129" spans="3:5" x14ac:dyDescent="0.4">
      <c r="C2129" s="31"/>
      <c r="E2129" s="30"/>
    </row>
    <row r="2130" spans="3:5" x14ac:dyDescent="0.4">
      <c r="C2130" s="31"/>
      <c r="E2130" s="30"/>
    </row>
    <row r="2131" spans="3:5" x14ac:dyDescent="0.4">
      <c r="C2131" s="31"/>
      <c r="E2131" s="30"/>
    </row>
    <row r="2132" spans="3:5" x14ac:dyDescent="0.4">
      <c r="C2132" s="31"/>
      <c r="E2132" s="30"/>
    </row>
    <row r="2133" spans="3:5" x14ac:dyDescent="0.4">
      <c r="C2133" s="31"/>
      <c r="E2133" s="30"/>
    </row>
    <row r="2134" spans="3:5" x14ac:dyDescent="0.4">
      <c r="C2134" s="31"/>
      <c r="E2134" s="30"/>
    </row>
    <row r="2135" spans="3:5" x14ac:dyDescent="0.4">
      <c r="C2135" s="31"/>
      <c r="E2135" s="30"/>
    </row>
    <row r="2136" spans="3:5" x14ac:dyDescent="0.4">
      <c r="C2136" s="31"/>
      <c r="E2136" s="30"/>
    </row>
    <row r="2137" spans="3:5" x14ac:dyDescent="0.4">
      <c r="C2137" s="31"/>
      <c r="E2137" s="30"/>
    </row>
    <row r="2138" spans="3:5" x14ac:dyDescent="0.4">
      <c r="C2138" s="31"/>
      <c r="E2138" s="30"/>
    </row>
    <row r="2139" spans="3:5" x14ac:dyDescent="0.4">
      <c r="C2139" s="31"/>
      <c r="E2139" s="30"/>
    </row>
    <row r="2140" spans="3:5" x14ac:dyDescent="0.4">
      <c r="C2140" s="31"/>
      <c r="E2140" s="30"/>
    </row>
    <row r="2141" spans="3:5" x14ac:dyDescent="0.4">
      <c r="C2141" s="31"/>
      <c r="E2141" s="30"/>
    </row>
    <row r="2142" spans="3:5" x14ac:dyDescent="0.4">
      <c r="C2142" s="31"/>
      <c r="E2142" s="30"/>
    </row>
    <row r="2143" spans="3:5" x14ac:dyDescent="0.4">
      <c r="C2143" s="31"/>
      <c r="E2143" s="30"/>
    </row>
    <row r="2144" spans="3:5" x14ac:dyDescent="0.4">
      <c r="C2144" s="31"/>
      <c r="E2144" s="30"/>
    </row>
    <row r="2145" spans="3:5" x14ac:dyDescent="0.4">
      <c r="C2145" s="31"/>
      <c r="E2145" s="30"/>
    </row>
    <row r="2146" spans="3:5" x14ac:dyDescent="0.4">
      <c r="C2146" s="31"/>
      <c r="E2146" s="30"/>
    </row>
    <row r="2147" spans="3:5" x14ac:dyDescent="0.4">
      <c r="C2147" s="31"/>
      <c r="E2147" s="30"/>
    </row>
    <row r="2148" spans="3:5" x14ac:dyDescent="0.4">
      <c r="C2148" s="31"/>
      <c r="E2148" s="30"/>
    </row>
    <row r="2149" spans="3:5" x14ac:dyDescent="0.4">
      <c r="C2149" s="31"/>
      <c r="E2149" s="30"/>
    </row>
    <row r="2150" spans="3:5" x14ac:dyDescent="0.4">
      <c r="C2150" s="31"/>
      <c r="E2150" s="30"/>
    </row>
    <row r="2151" spans="3:5" x14ac:dyDescent="0.4">
      <c r="C2151" s="31"/>
      <c r="E2151" s="30"/>
    </row>
    <row r="2152" spans="3:5" x14ac:dyDescent="0.4">
      <c r="C2152" s="31"/>
      <c r="E2152" s="30"/>
    </row>
    <row r="2153" spans="3:5" x14ac:dyDescent="0.4">
      <c r="C2153" s="31"/>
      <c r="E2153" s="30"/>
    </row>
    <row r="2154" spans="3:5" x14ac:dyDescent="0.4">
      <c r="C2154" s="31"/>
      <c r="E2154" s="30"/>
    </row>
    <row r="2155" spans="3:5" x14ac:dyDescent="0.4">
      <c r="C2155" s="31"/>
      <c r="E2155" s="30"/>
    </row>
    <row r="2156" spans="3:5" x14ac:dyDescent="0.4">
      <c r="C2156" s="31"/>
      <c r="E2156" s="30"/>
    </row>
    <row r="2157" spans="3:5" x14ac:dyDescent="0.4">
      <c r="C2157" s="31"/>
      <c r="E2157" s="30"/>
    </row>
    <row r="2158" spans="3:5" x14ac:dyDescent="0.4">
      <c r="C2158" s="31"/>
      <c r="E2158" s="30"/>
    </row>
    <row r="2159" spans="3:5" x14ac:dyDescent="0.4">
      <c r="C2159" s="31"/>
      <c r="E2159" s="30"/>
    </row>
    <row r="2160" spans="3:5" x14ac:dyDescent="0.4">
      <c r="C2160" s="31"/>
      <c r="E2160" s="30"/>
    </row>
    <row r="2161" spans="3:5" x14ac:dyDescent="0.4">
      <c r="C2161" s="31"/>
      <c r="E2161" s="30"/>
    </row>
    <row r="2162" spans="3:5" x14ac:dyDescent="0.4">
      <c r="C2162" s="31"/>
      <c r="E2162" s="30"/>
    </row>
    <row r="2163" spans="3:5" x14ac:dyDescent="0.4">
      <c r="C2163" s="31"/>
      <c r="E2163" s="30"/>
    </row>
    <row r="2164" spans="3:5" x14ac:dyDescent="0.4">
      <c r="C2164" s="31"/>
      <c r="E2164" s="30"/>
    </row>
    <row r="2165" spans="3:5" x14ac:dyDescent="0.4">
      <c r="C2165" s="31"/>
      <c r="E2165" s="30"/>
    </row>
    <row r="2166" spans="3:5" x14ac:dyDescent="0.4">
      <c r="C2166" s="31"/>
      <c r="E2166" s="30"/>
    </row>
    <row r="2167" spans="3:5" x14ac:dyDescent="0.4">
      <c r="C2167" s="31"/>
      <c r="E2167" s="30"/>
    </row>
    <row r="2168" spans="3:5" x14ac:dyDescent="0.4">
      <c r="C2168" s="31"/>
      <c r="E2168" s="30"/>
    </row>
    <row r="2169" spans="3:5" x14ac:dyDescent="0.4">
      <c r="C2169" s="31"/>
      <c r="E2169" s="30"/>
    </row>
    <row r="2170" spans="3:5" x14ac:dyDescent="0.4">
      <c r="C2170" s="31"/>
      <c r="E2170" s="30"/>
    </row>
    <row r="2171" spans="3:5" x14ac:dyDescent="0.4">
      <c r="C2171" s="31"/>
      <c r="E2171" s="30"/>
    </row>
    <row r="2172" spans="3:5" x14ac:dyDescent="0.4">
      <c r="C2172" s="31"/>
      <c r="E2172" s="30"/>
    </row>
    <row r="2173" spans="3:5" x14ac:dyDescent="0.4">
      <c r="C2173" s="31"/>
      <c r="E2173" s="30"/>
    </row>
    <row r="2174" spans="3:5" x14ac:dyDescent="0.4">
      <c r="C2174" s="31"/>
      <c r="E2174" s="30"/>
    </row>
    <row r="2175" spans="3:5" x14ac:dyDescent="0.4">
      <c r="C2175" s="31"/>
      <c r="E2175" s="30"/>
    </row>
    <row r="2176" spans="3:5" x14ac:dyDescent="0.4">
      <c r="C2176" s="31"/>
      <c r="E2176" s="30"/>
    </row>
    <row r="2177" spans="3:5" x14ac:dyDescent="0.4">
      <c r="C2177" s="31"/>
      <c r="E2177" s="30"/>
    </row>
    <row r="2178" spans="3:5" x14ac:dyDescent="0.4">
      <c r="C2178" s="31"/>
      <c r="E2178" s="30"/>
    </row>
    <row r="2179" spans="3:5" x14ac:dyDescent="0.4">
      <c r="C2179" s="31"/>
      <c r="E2179" s="30"/>
    </row>
    <row r="2180" spans="3:5" x14ac:dyDescent="0.4">
      <c r="C2180" s="31"/>
      <c r="E2180" s="30"/>
    </row>
    <row r="2181" spans="3:5" x14ac:dyDescent="0.4">
      <c r="C2181" s="31"/>
      <c r="E2181" s="30"/>
    </row>
    <row r="2182" spans="3:5" x14ac:dyDescent="0.4">
      <c r="C2182" s="31"/>
      <c r="E2182" s="30"/>
    </row>
    <row r="2183" spans="3:5" x14ac:dyDescent="0.4">
      <c r="C2183" s="31"/>
      <c r="E2183" s="30"/>
    </row>
    <row r="2184" spans="3:5" x14ac:dyDescent="0.4">
      <c r="C2184" s="31"/>
      <c r="E2184" s="30"/>
    </row>
    <row r="2185" spans="3:5" x14ac:dyDescent="0.4">
      <c r="C2185" s="31"/>
      <c r="E2185" s="30"/>
    </row>
    <row r="2186" spans="3:5" x14ac:dyDescent="0.4">
      <c r="C2186" s="31"/>
      <c r="E2186" s="30"/>
    </row>
    <row r="2187" spans="3:5" x14ac:dyDescent="0.4">
      <c r="C2187" s="31"/>
      <c r="E2187" s="30"/>
    </row>
    <row r="2188" spans="3:5" x14ac:dyDescent="0.4">
      <c r="C2188" s="31"/>
      <c r="E2188" s="30"/>
    </row>
    <row r="2189" spans="3:5" x14ac:dyDescent="0.4">
      <c r="C2189" s="31"/>
      <c r="E2189" s="30"/>
    </row>
    <row r="2190" spans="3:5" x14ac:dyDescent="0.4">
      <c r="C2190" s="31"/>
      <c r="E2190" s="30"/>
    </row>
    <row r="2191" spans="3:5" x14ac:dyDescent="0.4">
      <c r="C2191" s="31"/>
      <c r="E2191" s="30"/>
    </row>
    <row r="2192" spans="3:5" x14ac:dyDescent="0.4">
      <c r="C2192" s="31"/>
      <c r="E2192" s="30"/>
    </row>
    <row r="2193" spans="3:5" x14ac:dyDescent="0.4">
      <c r="C2193" s="31"/>
      <c r="E2193" s="30"/>
    </row>
    <row r="2194" spans="3:5" x14ac:dyDescent="0.4">
      <c r="C2194" s="31"/>
      <c r="E2194" s="30"/>
    </row>
    <row r="2195" spans="3:5" x14ac:dyDescent="0.4">
      <c r="C2195" s="31"/>
      <c r="E2195" s="30"/>
    </row>
    <row r="2196" spans="3:5" x14ac:dyDescent="0.4">
      <c r="C2196" s="31"/>
      <c r="E2196" s="30"/>
    </row>
    <row r="2197" spans="3:5" x14ac:dyDescent="0.4">
      <c r="C2197" s="31"/>
      <c r="E2197" s="30"/>
    </row>
    <row r="2198" spans="3:5" x14ac:dyDescent="0.4">
      <c r="C2198" s="31"/>
      <c r="E2198" s="30"/>
    </row>
    <row r="2199" spans="3:5" x14ac:dyDescent="0.4">
      <c r="C2199" s="31"/>
      <c r="E2199" s="30"/>
    </row>
    <row r="2200" spans="3:5" x14ac:dyDescent="0.4">
      <c r="C2200" s="31"/>
      <c r="E2200" s="30"/>
    </row>
    <row r="2201" spans="3:5" x14ac:dyDescent="0.4">
      <c r="C2201" s="31"/>
      <c r="E2201" s="30"/>
    </row>
    <row r="2202" spans="3:5" x14ac:dyDescent="0.4">
      <c r="C2202" s="31"/>
      <c r="E2202" s="30"/>
    </row>
    <row r="2203" spans="3:5" x14ac:dyDescent="0.4">
      <c r="C2203" s="31"/>
      <c r="E2203" s="30"/>
    </row>
    <row r="2204" spans="3:5" x14ac:dyDescent="0.4">
      <c r="C2204" s="31"/>
      <c r="E2204" s="30"/>
    </row>
    <row r="2205" spans="3:5" x14ac:dyDescent="0.4">
      <c r="C2205" s="31"/>
      <c r="E2205" s="30"/>
    </row>
    <row r="2206" spans="3:5" x14ac:dyDescent="0.4">
      <c r="C2206" s="31"/>
      <c r="E2206" s="30"/>
    </row>
    <row r="2207" spans="3:5" x14ac:dyDescent="0.4">
      <c r="C2207" s="31"/>
      <c r="E2207" s="30"/>
    </row>
    <row r="2208" spans="3:5" x14ac:dyDescent="0.4">
      <c r="C2208" s="31"/>
      <c r="E2208" s="30"/>
    </row>
    <row r="2209" spans="3:5" x14ac:dyDescent="0.4">
      <c r="C2209" s="31"/>
      <c r="E2209" s="30"/>
    </row>
    <row r="2210" spans="3:5" x14ac:dyDescent="0.4">
      <c r="C2210" s="31"/>
      <c r="E2210" s="30"/>
    </row>
    <row r="2211" spans="3:5" x14ac:dyDescent="0.4">
      <c r="C2211" s="31"/>
      <c r="E2211" s="30"/>
    </row>
    <row r="2212" spans="3:5" x14ac:dyDescent="0.4">
      <c r="C2212" s="31"/>
      <c r="E2212" s="30"/>
    </row>
    <row r="2213" spans="3:5" x14ac:dyDescent="0.4">
      <c r="C2213" s="31"/>
      <c r="E2213" s="30"/>
    </row>
    <row r="2214" spans="3:5" x14ac:dyDescent="0.4">
      <c r="C2214" s="31"/>
      <c r="E2214" s="30"/>
    </row>
    <row r="2215" spans="3:5" x14ac:dyDescent="0.4">
      <c r="C2215" s="31"/>
      <c r="E2215" s="30"/>
    </row>
    <row r="2216" spans="3:5" x14ac:dyDescent="0.4">
      <c r="C2216" s="31"/>
      <c r="E2216" s="30"/>
    </row>
    <row r="2217" spans="3:5" x14ac:dyDescent="0.4">
      <c r="C2217" s="31"/>
      <c r="E2217" s="30"/>
    </row>
    <row r="2218" spans="3:5" x14ac:dyDescent="0.4">
      <c r="C2218" s="31"/>
      <c r="E2218" s="30"/>
    </row>
    <row r="2219" spans="3:5" x14ac:dyDescent="0.4">
      <c r="C2219" s="31"/>
      <c r="E2219" s="30"/>
    </row>
    <row r="2220" spans="3:5" x14ac:dyDescent="0.4">
      <c r="C2220" s="31"/>
      <c r="E2220" s="30"/>
    </row>
    <row r="2221" spans="3:5" x14ac:dyDescent="0.4">
      <c r="C2221" s="31"/>
      <c r="E2221" s="30"/>
    </row>
    <row r="2222" spans="3:5" x14ac:dyDescent="0.4">
      <c r="C2222" s="31"/>
      <c r="E2222" s="30"/>
    </row>
    <row r="2223" spans="3:5" x14ac:dyDescent="0.4">
      <c r="C2223" s="31"/>
      <c r="E2223" s="30"/>
    </row>
    <row r="2224" spans="3:5" x14ac:dyDescent="0.4">
      <c r="C2224" s="31"/>
      <c r="E2224" s="30"/>
    </row>
    <row r="2225" spans="3:5" x14ac:dyDescent="0.4">
      <c r="C2225" s="31"/>
      <c r="E2225" s="30"/>
    </row>
    <row r="2226" spans="3:5" x14ac:dyDescent="0.4">
      <c r="C2226" s="31"/>
      <c r="E2226" s="30"/>
    </row>
    <row r="2227" spans="3:5" x14ac:dyDescent="0.4">
      <c r="C2227" s="31"/>
      <c r="E2227" s="30"/>
    </row>
    <row r="2228" spans="3:5" x14ac:dyDescent="0.4">
      <c r="C2228" s="31"/>
      <c r="E2228" s="30"/>
    </row>
    <row r="2229" spans="3:5" x14ac:dyDescent="0.4">
      <c r="C2229" s="31"/>
      <c r="E2229" s="30"/>
    </row>
    <row r="2230" spans="3:5" x14ac:dyDescent="0.4">
      <c r="C2230" s="31"/>
      <c r="E2230" s="30"/>
    </row>
    <row r="2231" spans="3:5" x14ac:dyDescent="0.4">
      <c r="C2231" s="31"/>
      <c r="E2231" s="30"/>
    </row>
    <row r="2232" spans="3:5" x14ac:dyDescent="0.4">
      <c r="C2232" s="31"/>
      <c r="E2232" s="30"/>
    </row>
    <row r="2233" spans="3:5" x14ac:dyDescent="0.4">
      <c r="C2233" s="31"/>
      <c r="E2233" s="30"/>
    </row>
    <row r="2234" spans="3:5" x14ac:dyDescent="0.4">
      <c r="C2234" s="31"/>
      <c r="E2234" s="30"/>
    </row>
    <row r="2235" spans="3:5" x14ac:dyDescent="0.4">
      <c r="C2235" s="31"/>
      <c r="E2235" s="30"/>
    </row>
    <row r="2236" spans="3:5" x14ac:dyDescent="0.4">
      <c r="C2236" s="31"/>
      <c r="E2236" s="30"/>
    </row>
    <row r="2237" spans="3:5" x14ac:dyDescent="0.4">
      <c r="C2237" s="31"/>
      <c r="E2237" s="30"/>
    </row>
    <row r="2238" spans="3:5" x14ac:dyDescent="0.4">
      <c r="C2238" s="31"/>
      <c r="E2238" s="30"/>
    </row>
    <row r="2239" spans="3:5" x14ac:dyDescent="0.4">
      <c r="C2239" s="31"/>
      <c r="E2239" s="30"/>
    </row>
    <row r="2240" spans="3:5" x14ac:dyDescent="0.4">
      <c r="C2240" s="31"/>
      <c r="E2240" s="30"/>
    </row>
    <row r="2241" spans="3:5" x14ac:dyDescent="0.4">
      <c r="C2241" s="31"/>
      <c r="E2241" s="30"/>
    </row>
    <row r="2242" spans="3:5" x14ac:dyDescent="0.4">
      <c r="C2242" s="31"/>
      <c r="E2242" s="30"/>
    </row>
    <row r="2243" spans="3:5" x14ac:dyDescent="0.4">
      <c r="C2243" s="31"/>
      <c r="E2243" s="30"/>
    </row>
    <row r="2244" spans="3:5" x14ac:dyDescent="0.4">
      <c r="C2244" s="31"/>
      <c r="E2244" s="30"/>
    </row>
    <row r="2245" spans="3:5" x14ac:dyDescent="0.4">
      <c r="C2245" s="31"/>
      <c r="E2245" s="30"/>
    </row>
    <row r="2246" spans="3:5" x14ac:dyDescent="0.4">
      <c r="C2246" s="31"/>
      <c r="E2246" s="30"/>
    </row>
    <row r="2247" spans="3:5" x14ac:dyDescent="0.4">
      <c r="C2247" s="31"/>
      <c r="E2247" s="30"/>
    </row>
    <row r="2248" spans="3:5" x14ac:dyDescent="0.4">
      <c r="C2248" s="31"/>
      <c r="E2248" s="30"/>
    </row>
    <row r="2249" spans="3:5" x14ac:dyDescent="0.4">
      <c r="C2249" s="31"/>
      <c r="E2249" s="30"/>
    </row>
    <row r="2250" spans="3:5" x14ac:dyDescent="0.4">
      <c r="C2250" s="31"/>
      <c r="E2250" s="30"/>
    </row>
    <row r="2251" spans="3:5" x14ac:dyDescent="0.4">
      <c r="C2251" s="31"/>
      <c r="E2251" s="30"/>
    </row>
    <row r="2252" spans="3:5" x14ac:dyDescent="0.4">
      <c r="C2252" s="31"/>
      <c r="E2252" s="30"/>
    </row>
    <row r="2253" spans="3:5" x14ac:dyDescent="0.4">
      <c r="C2253" s="31"/>
      <c r="E2253" s="30"/>
    </row>
    <row r="2254" spans="3:5" x14ac:dyDescent="0.4">
      <c r="C2254" s="31"/>
      <c r="E2254" s="30"/>
    </row>
    <row r="2255" spans="3:5" x14ac:dyDescent="0.4">
      <c r="C2255" s="31"/>
      <c r="E2255" s="30"/>
    </row>
    <row r="2256" spans="3:5" x14ac:dyDescent="0.4">
      <c r="C2256" s="31"/>
      <c r="E2256" s="30"/>
    </row>
    <row r="2257" spans="3:5" x14ac:dyDescent="0.4">
      <c r="C2257" s="31"/>
      <c r="E2257" s="30"/>
    </row>
    <row r="2258" spans="3:5" x14ac:dyDescent="0.4">
      <c r="C2258" s="31"/>
      <c r="E2258" s="30"/>
    </row>
    <row r="2259" spans="3:5" x14ac:dyDescent="0.4">
      <c r="C2259" s="31"/>
      <c r="E2259" s="30"/>
    </row>
    <row r="2260" spans="3:5" x14ac:dyDescent="0.4">
      <c r="C2260" s="31"/>
      <c r="E2260" s="30"/>
    </row>
    <row r="2261" spans="3:5" x14ac:dyDescent="0.4">
      <c r="C2261" s="31"/>
      <c r="E2261" s="30"/>
    </row>
    <row r="2262" spans="3:5" x14ac:dyDescent="0.4">
      <c r="C2262" s="31"/>
      <c r="E2262" s="30"/>
    </row>
    <row r="2263" spans="3:5" x14ac:dyDescent="0.4">
      <c r="C2263" s="31"/>
      <c r="E2263" s="30"/>
    </row>
    <row r="2264" spans="3:5" x14ac:dyDescent="0.4">
      <c r="C2264" s="31"/>
      <c r="E2264" s="30"/>
    </row>
    <row r="2265" spans="3:5" x14ac:dyDescent="0.4">
      <c r="C2265" s="31"/>
      <c r="E2265" s="30"/>
    </row>
    <row r="2266" spans="3:5" x14ac:dyDescent="0.4">
      <c r="C2266" s="31"/>
      <c r="E2266" s="30"/>
    </row>
    <row r="2267" spans="3:5" x14ac:dyDescent="0.4">
      <c r="C2267" s="31"/>
      <c r="E2267" s="30"/>
    </row>
    <row r="2268" spans="3:5" x14ac:dyDescent="0.4">
      <c r="C2268" s="31"/>
      <c r="E2268" s="30"/>
    </row>
    <row r="2269" spans="3:5" x14ac:dyDescent="0.4">
      <c r="C2269" s="31"/>
      <c r="E2269" s="30"/>
    </row>
    <row r="2270" spans="3:5" x14ac:dyDescent="0.4">
      <c r="C2270" s="31"/>
      <c r="E2270" s="30"/>
    </row>
    <row r="2271" spans="3:5" x14ac:dyDescent="0.4">
      <c r="C2271" s="31"/>
      <c r="E2271" s="30"/>
    </row>
    <row r="2272" spans="3:5" x14ac:dyDescent="0.4">
      <c r="C2272" s="31"/>
      <c r="E2272" s="30"/>
    </row>
    <row r="2273" spans="3:5" x14ac:dyDescent="0.4">
      <c r="C2273" s="31"/>
      <c r="E2273" s="30"/>
    </row>
    <row r="2274" spans="3:5" x14ac:dyDescent="0.4">
      <c r="C2274" s="31"/>
      <c r="E2274" s="30"/>
    </row>
    <row r="2275" spans="3:5" x14ac:dyDescent="0.4">
      <c r="C2275" s="31"/>
      <c r="E2275" s="30"/>
    </row>
    <row r="2276" spans="3:5" x14ac:dyDescent="0.4">
      <c r="C2276" s="31"/>
      <c r="E2276" s="30"/>
    </row>
    <row r="2277" spans="3:5" x14ac:dyDescent="0.4">
      <c r="C2277" s="31"/>
      <c r="E2277" s="30"/>
    </row>
    <row r="2278" spans="3:5" x14ac:dyDescent="0.4">
      <c r="C2278" s="31"/>
      <c r="E2278" s="30"/>
    </row>
    <row r="2279" spans="3:5" x14ac:dyDescent="0.4">
      <c r="C2279" s="31"/>
      <c r="E2279" s="30"/>
    </row>
    <row r="2280" spans="3:5" x14ac:dyDescent="0.4">
      <c r="C2280" s="31"/>
      <c r="E2280" s="30"/>
    </row>
    <row r="2281" spans="3:5" x14ac:dyDescent="0.4">
      <c r="C2281" s="31"/>
      <c r="E2281" s="30"/>
    </row>
    <row r="2282" spans="3:5" x14ac:dyDescent="0.4">
      <c r="C2282" s="31"/>
      <c r="E2282" s="30"/>
    </row>
    <row r="2283" spans="3:5" x14ac:dyDescent="0.4">
      <c r="C2283" s="31"/>
      <c r="E2283" s="30"/>
    </row>
    <row r="2284" spans="3:5" x14ac:dyDescent="0.4">
      <c r="C2284" s="31"/>
      <c r="E2284" s="30"/>
    </row>
    <row r="2285" spans="3:5" x14ac:dyDescent="0.4">
      <c r="C2285" s="31"/>
      <c r="E2285" s="30"/>
    </row>
    <row r="2286" spans="3:5" x14ac:dyDescent="0.4">
      <c r="C2286" s="31"/>
      <c r="E2286" s="30"/>
    </row>
    <row r="2287" spans="3:5" x14ac:dyDescent="0.4">
      <c r="C2287" s="31"/>
      <c r="E2287" s="30"/>
    </row>
    <row r="2288" spans="3:5" x14ac:dyDescent="0.4">
      <c r="C2288" s="31"/>
      <c r="E2288" s="30"/>
    </row>
    <row r="2289" spans="3:5" x14ac:dyDescent="0.4">
      <c r="C2289" s="31"/>
      <c r="E2289" s="30"/>
    </row>
    <row r="2290" spans="3:5" x14ac:dyDescent="0.4">
      <c r="C2290" s="31"/>
      <c r="E2290" s="30"/>
    </row>
    <row r="2291" spans="3:5" x14ac:dyDescent="0.4">
      <c r="C2291" s="31"/>
      <c r="E2291" s="30"/>
    </row>
    <row r="2292" spans="3:5" x14ac:dyDescent="0.4">
      <c r="C2292" s="31"/>
      <c r="E2292" s="30"/>
    </row>
    <row r="2293" spans="3:5" x14ac:dyDescent="0.4">
      <c r="C2293" s="31"/>
      <c r="E2293" s="30"/>
    </row>
    <row r="2294" spans="3:5" x14ac:dyDescent="0.4">
      <c r="C2294" s="31"/>
      <c r="E2294" s="30"/>
    </row>
    <row r="2295" spans="3:5" x14ac:dyDescent="0.4">
      <c r="C2295" s="31"/>
      <c r="E2295" s="30"/>
    </row>
    <row r="2296" spans="3:5" x14ac:dyDescent="0.4">
      <c r="C2296" s="31"/>
      <c r="E2296" s="30"/>
    </row>
    <row r="2297" spans="3:5" x14ac:dyDescent="0.4">
      <c r="C2297" s="31"/>
      <c r="E2297" s="30"/>
    </row>
    <row r="2298" spans="3:5" x14ac:dyDescent="0.4">
      <c r="C2298" s="31"/>
      <c r="E2298" s="30"/>
    </row>
    <row r="2299" spans="3:5" x14ac:dyDescent="0.4">
      <c r="C2299" s="31"/>
      <c r="E2299" s="30"/>
    </row>
    <row r="2300" spans="3:5" x14ac:dyDescent="0.4">
      <c r="C2300" s="31"/>
      <c r="E2300" s="30"/>
    </row>
    <row r="2301" spans="3:5" x14ac:dyDescent="0.4">
      <c r="C2301" s="31"/>
      <c r="E2301" s="30"/>
    </row>
    <row r="2302" spans="3:5" x14ac:dyDescent="0.4">
      <c r="C2302" s="31"/>
      <c r="E2302" s="30"/>
    </row>
    <row r="2303" spans="3:5" x14ac:dyDescent="0.4">
      <c r="C2303" s="31"/>
      <c r="E2303" s="30"/>
    </row>
    <row r="2304" spans="3:5" x14ac:dyDescent="0.4">
      <c r="C2304" s="31"/>
      <c r="E2304" s="30"/>
    </row>
    <row r="2305" spans="3:5" x14ac:dyDescent="0.4">
      <c r="C2305" s="31"/>
      <c r="E2305" s="30"/>
    </row>
    <row r="2306" spans="3:5" x14ac:dyDescent="0.4">
      <c r="C2306" s="31"/>
      <c r="E2306" s="30"/>
    </row>
    <row r="2307" spans="3:5" x14ac:dyDescent="0.4">
      <c r="C2307" s="31"/>
      <c r="E2307" s="30"/>
    </row>
    <row r="2308" spans="3:5" x14ac:dyDescent="0.4">
      <c r="C2308" s="31"/>
      <c r="E2308" s="30"/>
    </row>
    <row r="2309" spans="3:5" x14ac:dyDescent="0.4">
      <c r="C2309" s="31"/>
      <c r="E2309" s="30"/>
    </row>
    <row r="2310" spans="3:5" x14ac:dyDescent="0.4">
      <c r="C2310" s="31"/>
      <c r="E2310" s="30"/>
    </row>
    <row r="2311" spans="3:5" x14ac:dyDescent="0.4">
      <c r="C2311" s="31"/>
      <c r="E2311" s="30"/>
    </row>
    <row r="2312" spans="3:5" x14ac:dyDescent="0.4">
      <c r="C2312" s="31"/>
      <c r="E2312" s="30"/>
    </row>
    <row r="2313" spans="3:5" x14ac:dyDescent="0.4">
      <c r="C2313" s="31"/>
      <c r="E2313" s="30"/>
    </row>
    <row r="2314" spans="3:5" x14ac:dyDescent="0.4">
      <c r="C2314" s="31"/>
      <c r="E2314" s="30"/>
    </row>
    <row r="2315" spans="3:5" x14ac:dyDescent="0.4">
      <c r="C2315" s="31"/>
      <c r="E2315" s="30"/>
    </row>
    <row r="2316" spans="3:5" x14ac:dyDescent="0.4">
      <c r="C2316" s="31"/>
      <c r="E2316" s="30"/>
    </row>
    <row r="2317" spans="3:5" x14ac:dyDescent="0.4">
      <c r="C2317" s="31"/>
      <c r="E2317" s="30"/>
    </row>
    <row r="2318" spans="3:5" x14ac:dyDescent="0.4">
      <c r="C2318" s="31"/>
      <c r="E2318" s="30"/>
    </row>
    <row r="2319" spans="3:5" x14ac:dyDescent="0.4">
      <c r="C2319" s="31"/>
      <c r="E2319" s="30"/>
    </row>
    <row r="2320" spans="3:5" x14ac:dyDescent="0.4">
      <c r="C2320" s="31"/>
      <c r="E2320" s="30"/>
    </row>
    <row r="2321" spans="3:5" x14ac:dyDescent="0.4">
      <c r="C2321" s="31"/>
      <c r="E2321" s="30"/>
    </row>
    <row r="2322" spans="3:5" x14ac:dyDescent="0.4">
      <c r="C2322" s="31"/>
      <c r="E2322" s="30"/>
    </row>
    <row r="2323" spans="3:5" x14ac:dyDescent="0.4">
      <c r="C2323" s="31"/>
      <c r="E2323" s="30"/>
    </row>
    <row r="2324" spans="3:5" x14ac:dyDescent="0.4">
      <c r="C2324" s="31"/>
      <c r="E2324" s="30"/>
    </row>
    <row r="2325" spans="3:5" x14ac:dyDescent="0.4">
      <c r="C2325" s="31"/>
      <c r="E2325" s="30"/>
    </row>
    <row r="2326" spans="3:5" x14ac:dyDescent="0.4">
      <c r="C2326" s="31"/>
      <c r="E2326" s="30"/>
    </row>
    <row r="2327" spans="3:5" x14ac:dyDescent="0.4">
      <c r="C2327" s="31"/>
      <c r="E2327" s="30"/>
    </row>
    <row r="2328" spans="3:5" x14ac:dyDescent="0.4">
      <c r="C2328" s="31"/>
      <c r="E2328" s="30"/>
    </row>
    <row r="2329" spans="3:5" x14ac:dyDescent="0.4">
      <c r="C2329" s="31"/>
      <c r="E2329" s="30"/>
    </row>
    <row r="2330" spans="3:5" x14ac:dyDescent="0.4">
      <c r="C2330" s="31"/>
      <c r="E2330" s="30"/>
    </row>
    <row r="2331" spans="3:5" x14ac:dyDescent="0.4">
      <c r="C2331" s="31"/>
      <c r="E2331" s="30"/>
    </row>
    <row r="2332" spans="3:5" x14ac:dyDescent="0.4">
      <c r="C2332" s="31"/>
      <c r="E2332" s="30"/>
    </row>
    <row r="2333" spans="3:5" x14ac:dyDescent="0.4">
      <c r="C2333" s="31"/>
      <c r="E2333" s="30"/>
    </row>
    <row r="2334" spans="3:5" x14ac:dyDescent="0.4">
      <c r="C2334" s="31"/>
      <c r="E2334" s="30"/>
    </row>
    <row r="2335" spans="3:5" x14ac:dyDescent="0.4">
      <c r="C2335" s="31"/>
      <c r="E2335" s="30"/>
    </row>
    <row r="2336" spans="3:5" x14ac:dyDescent="0.4">
      <c r="C2336" s="31"/>
      <c r="E2336" s="30"/>
    </row>
    <row r="2337" spans="3:5" x14ac:dyDescent="0.4">
      <c r="C2337" s="31"/>
      <c r="E2337" s="30"/>
    </row>
    <row r="2338" spans="3:5" x14ac:dyDescent="0.4">
      <c r="C2338" s="31"/>
      <c r="E2338" s="30"/>
    </row>
    <row r="2339" spans="3:5" x14ac:dyDescent="0.4">
      <c r="C2339" s="31"/>
      <c r="E2339" s="30"/>
    </row>
    <row r="2340" spans="3:5" x14ac:dyDescent="0.4">
      <c r="C2340" s="31"/>
      <c r="E2340" s="30"/>
    </row>
    <row r="2341" spans="3:5" x14ac:dyDescent="0.4">
      <c r="C2341" s="31"/>
      <c r="E2341" s="30"/>
    </row>
    <row r="2342" spans="3:5" x14ac:dyDescent="0.4">
      <c r="C2342" s="31"/>
      <c r="E2342" s="30"/>
    </row>
    <row r="2343" spans="3:5" x14ac:dyDescent="0.4">
      <c r="C2343" s="31"/>
      <c r="E2343" s="30"/>
    </row>
    <row r="2344" spans="3:5" x14ac:dyDescent="0.4">
      <c r="C2344" s="31"/>
      <c r="E2344" s="30"/>
    </row>
    <row r="2345" spans="3:5" x14ac:dyDescent="0.4">
      <c r="C2345" s="31"/>
      <c r="E2345" s="30"/>
    </row>
    <row r="2346" spans="3:5" x14ac:dyDescent="0.4">
      <c r="C2346" s="31"/>
      <c r="E2346" s="30"/>
    </row>
    <row r="2347" spans="3:5" x14ac:dyDescent="0.4">
      <c r="C2347" s="31"/>
      <c r="E2347" s="30"/>
    </row>
    <row r="2348" spans="3:5" x14ac:dyDescent="0.4">
      <c r="C2348" s="31"/>
      <c r="E2348" s="30"/>
    </row>
    <row r="2349" spans="3:5" x14ac:dyDescent="0.4">
      <c r="C2349" s="31"/>
      <c r="E2349" s="30"/>
    </row>
    <row r="2350" spans="3:5" x14ac:dyDescent="0.4">
      <c r="C2350" s="31"/>
      <c r="E2350" s="30"/>
    </row>
    <row r="2351" spans="3:5" x14ac:dyDescent="0.4">
      <c r="C2351" s="31"/>
      <c r="E2351" s="30"/>
    </row>
    <row r="2352" spans="3:5" x14ac:dyDescent="0.4">
      <c r="C2352" s="31"/>
      <c r="E2352" s="30"/>
    </row>
    <row r="2353" spans="3:5" x14ac:dyDescent="0.4">
      <c r="C2353" s="31"/>
      <c r="E2353" s="30"/>
    </row>
    <row r="2354" spans="3:5" x14ac:dyDescent="0.4">
      <c r="C2354" s="31"/>
      <c r="E2354" s="30"/>
    </row>
    <row r="2355" spans="3:5" x14ac:dyDescent="0.4">
      <c r="C2355" s="31"/>
      <c r="E2355" s="30"/>
    </row>
    <row r="2356" spans="3:5" x14ac:dyDescent="0.4">
      <c r="C2356" s="31"/>
      <c r="E2356" s="30"/>
    </row>
    <row r="2357" spans="3:5" x14ac:dyDescent="0.4">
      <c r="C2357" s="31"/>
      <c r="E2357" s="30"/>
    </row>
    <row r="2358" spans="3:5" x14ac:dyDescent="0.4">
      <c r="C2358" s="31"/>
      <c r="E2358" s="30"/>
    </row>
    <row r="2359" spans="3:5" x14ac:dyDescent="0.4">
      <c r="C2359" s="31"/>
      <c r="E2359" s="30"/>
    </row>
    <row r="2360" spans="3:5" x14ac:dyDescent="0.4">
      <c r="C2360" s="31"/>
      <c r="E2360" s="30"/>
    </row>
    <row r="2361" spans="3:5" x14ac:dyDescent="0.4">
      <c r="C2361" s="31"/>
      <c r="E2361" s="30"/>
    </row>
    <row r="2362" spans="3:5" x14ac:dyDescent="0.4">
      <c r="C2362" s="31"/>
      <c r="E2362" s="30"/>
    </row>
    <row r="2363" spans="3:5" x14ac:dyDescent="0.4">
      <c r="C2363" s="31"/>
      <c r="E2363" s="30"/>
    </row>
    <row r="2364" spans="3:5" x14ac:dyDescent="0.4">
      <c r="C2364" s="31"/>
      <c r="E2364" s="30"/>
    </row>
    <row r="2365" spans="3:5" x14ac:dyDescent="0.4">
      <c r="C2365" s="31"/>
      <c r="E2365" s="30"/>
    </row>
    <row r="2366" spans="3:5" x14ac:dyDescent="0.4">
      <c r="C2366" s="31"/>
      <c r="E2366" s="30"/>
    </row>
    <row r="2367" spans="3:5" x14ac:dyDescent="0.4">
      <c r="C2367" s="31"/>
      <c r="E2367" s="30"/>
    </row>
    <row r="2368" spans="3:5" x14ac:dyDescent="0.4">
      <c r="C2368" s="31"/>
      <c r="E2368" s="30"/>
    </row>
    <row r="2369" spans="3:5" x14ac:dyDescent="0.4">
      <c r="C2369" s="31"/>
      <c r="E2369" s="30"/>
    </row>
    <row r="2370" spans="3:5" x14ac:dyDescent="0.4">
      <c r="C2370" s="31"/>
      <c r="E2370" s="30"/>
    </row>
    <row r="2371" spans="3:5" x14ac:dyDescent="0.4">
      <c r="C2371" s="31"/>
      <c r="E2371" s="30"/>
    </row>
    <row r="2372" spans="3:5" x14ac:dyDescent="0.4">
      <c r="C2372" s="31"/>
      <c r="E2372" s="30"/>
    </row>
    <row r="2373" spans="3:5" x14ac:dyDescent="0.4">
      <c r="C2373" s="31"/>
      <c r="E2373" s="30"/>
    </row>
    <row r="2374" spans="3:5" x14ac:dyDescent="0.4">
      <c r="C2374" s="31"/>
      <c r="E2374" s="30"/>
    </row>
    <row r="2375" spans="3:5" x14ac:dyDescent="0.4">
      <c r="C2375" s="31"/>
      <c r="E2375" s="30"/>
    </row>
    <row r="2376" spans="3:5" x14ac:dyDescent="0.4">
      <c r="C2376" s="31"/>
      <c r="E2376" s="30"/>
    </row>
    <row r="2377" spans="3:5" x14ac:dyDescent="0.4">
      <c r="C2377" s="31"/>
      <c r="E2377" s="30"/>
    </row>
    <row r="2378" spans="3:5" x14ac:dyDescent="0.4">
      <c r="C2378" s="31"/>
      <c r="E2378" s="30"/>
    </row>
    <row r="2379" spans="3:5" x14ac:dyDescent="0.4">
      <c r="C2379" s="31"/>
      <c r="E2379" s="30"/>
    </row>
    <row r="2380" spans="3:5" x14ac:dyDescent="0.4">
      <c r="C2380" s="31"/>
      <c r="E2380" s="30"/>
    </row>
    <row r="2381" spans="3:5" x14ac:dyDescent="0.4">
      <c r="C2381" s="31"/>
      <c r="E2381" s="30"/>
    </row>
    <row r="2382" spans="3:5" x14ac:dyDescent="0.4">
      <c r="C2382" s="31"/>
      <c r="E2382" s="30"/>
    </row>
    <row r="2383" spans="3:5" x14ac:dyDescent="0.4">
      <c r="C2383" s="31"/>
      <c r="E2383" s="30"/>
    </row>
    <row r="2384" spans="3:5" x14ac:dyDescent="0.4">
      <c r="C2384" s="31"/>
      <c r="E2384" s="30"/>
    </row>
    <row r="2385" spans="3:5" x14ac:dyDescent="0.4">
      <c r="C2385" s="31"/>
      <c r="E2385" s="30"/>
    </row>
    <row r="2386" spans="3:5" x14ac:dyDescent="0.4">
      <c r="C2386" s="31"/>
      <c r="E2386" s="30"/>
    </row>
    <row r="2387" spans="3:5" x14ac:dyDescent="0.4">
      <c r="C2387" s="31"/>
      <c r="E2387" s="30"/>
    </row>
    <row r="2388" spans="3:5" x14ac:dyDescent="0.4">
      <c r="C2388" s="31"/>
      <c r="E2388" s="30"/>
    </row>
    <row r="2389" spans="3:5" x14ac:dyDescent="0.4">
      <c r="C2389" s="31"/>
      <c r="E2389" s="30"/>
    </row>
    <row r="2390" spans="3:5" x14ac:dyDescent="0.4">
      <c r="C2390" s="31"/>
      <c r="E2390" s="30"/>
    </row>
    <row r="2391" spans="3:5" x14ac:dyDescent="0.4">
      <c r="C2391" s="31"/>
      <c r="E2391" s="30"/>
    </row>
    <row r="2392" spans="3:5" x14ac:dyDescent="0.4">
      <c r="C2392" s="31"/>
      <c r="E2392" s="30"/>
    </row>
    <row r="2393" spans="3:5" x14ac:dyDescent="0.4">
      <c r="C2393" s="31"/>
      <c r="E2393" s="30"/>
    </row>
    <row r="2394" spans="3:5" x14ac:dyDescent="0.4">
      <c r="C2394" s="31"/>
      <c r="E2394" s="30"/>
    </row>
    <row r="2395" spans="3:5" x14ac:dyDescent="0.4">
      <c r="C2395" s="31"/>
      <c r="E2395" s="30"/>
    </row>
    <row r="2396" spans="3:5" x14ac:dyDescent="0.4">
      <c r="C2396" s="31"/>
      <c r="E2396" s="30"/>
    </row>
    <row r="2397" spans="3:5" x14ac:dyDescent="0.4">
      <c r="C2397" s="31"/>
      <c r="E2397" s="30"/>
    </row>
    <row r="2398" spans="3:5" x14ac:dyDescent="0.4">
      <c r="C2398" s="31"/>
      <c r="E2398" s="30"/>
    </row>
    <row r="2399" spans="3:5" x14ac:dyDescent="0.4">
      <c r="C2399" s="31"/>
      <c r="E2399" s="30"/>
    </row>
    <row r="2400" spans="3:5" x14ac:dyDescent="0.4">
      <c r="C2400" s="31"/>
      <c r="E2400" s="30"/>
    </row>
    <row r="2401" spans="3:5" x14ac:dyDescent="0.4">
      <c r="C2401" s="31"/>
      <c r="E2401" s="30"/>
    </row>
    <row r="2402" spans="3:5" x14ac:dyDescent="0.4">
      <c r="C2402" s="31"/>
      <c r="E2402" s="30"/>
    </row>
    <row r="2403" spans="3:5" x14ac:dyDescent="0.4">
      <c r="C2403" s="31"/>
      <c r="E2403" s="30"/>
    </row>
    <row r="2404" spans="3:5" x14ac:dyDescent="0.4">
      <c r="C2404" s="31"/>
      <c r="E2404" s="30"/>
    </row>
    <row r="2405" spans="3:5" x14ac:dyDescent="0.4">
      <c r="C2405" s="31"/>
      <c r="E2405" s="30"/>
    </row>
    <row r="2406" spans="3:5" x14ac:dyDescent="0.4">
      <c r="C2406" s="31"/>
      <c r="E2406" s="30"/>
    </row>
    <row r="2407" spans="3:5" x14ac:dyDescent="0.4">
      <c r="C2407" s="31"/>
      <c r="E2407" s="30"/>
    </row>
    <row r="2408" spans="3:5" x14ac:dyDescent="0.4">
      <c r="C2408" s="31"/>
      <c r="E2408" s="30"/>
    </row>
    <row r="2409" spans="3:5" x14ac:dyDescent="0.4">
      <c r="C2409" s="31"/>
      <c r="E2409" s="30"/>
    </row>
    <row r="2410" spans="3:5" x14ac:dyDescent="0.4">
      <c r="C2410" s="31"/>
      <c r="E2410" s="30"/>
    </row>
    <row r="2411" spans="3:5" x14ac:dyDescent="0.4">
      <c r="C2411" s="31"/>
      <c r="E2411" s="30"/>
    </row>
    <row r="2412" spans="3:5" x14ac:dyDescent="0.4">
      <c r="C2412" s="31"/>
      <c r="E2412" s="30"/>
    </row>
    <row r="2413" spans="3:5" x14ac:dyDescent="0.4">
      <c r="C2413" s="31"/>
      <c r="E2413" s="30"/>
    </row>
    <row r="2414" spans="3:5" x14ac:dyDescent="0.4">
      <c r="C2414" s="31"/>
      <c r="E2414" s="30"/>
    </row>
    <row r="2415" spans="3:5" x14ac:dyDescent="0.4">
      <c r="C2415" s="31"/>
      <c r="E2415" s="30"/>
    </row>
    <row r="2416" spans="3:5" x14ac:dyDescent="0.4">
      <c r="C2416" s="31"/>
      <c r="E2416" s="30"/>
    </row>
    <row r="2417" spans="3:5" x14ac:dyDescent="0.4">
      <c r="C2417" s="31"/>
      <c r="E2417" s="30"/>
    </row>
    <row r="2418" spans="3:5" x14ac:dyDescent="0.4">
      <c r="C2418" s="31"/>
      <c r="E2418" s="30"/>
    </row>
    <row r="2419" spans="3:5" x14ac:dyDescent="0.4">
      <c r="C2419" s="31"/>
      <c r="E2419" s="30"/>
    </row>
    <row r="2420" spans="3:5" x14ac:dyDescent="0.4">
      <c r="C2420" s="31"/>
      <c r="E2420" s="30"/>
    </row>
    <row r="2421" spans="3:5" x14ac:dyDescent="0.4">
      <c r="C2421" s="31"/>
      <c r="E2421" s="30"/>
    </row>
    <row r="2422" spans="3:5" x14ac:dyDescent="0.4">
      <c r="C2422" s="31"/>
      <c r="E2422" s="30"/>
    </row>
    <row r="2423" spans="3:5" x14ac:dyDescent="0.4">
      <c r="C2423" s="31"/>
      <c r="E2423" s="30"/>
    </row>
    <row r="2424" spans="3:5" x14ac:dyDescent="0.4">
      <c r="C2424" s="31"/>
      <c r="E2424" s="30"/>
    </row>
    <row r="2425" spans="3:5" x14ac:dyDescent="0.4">
      <c r="C2425" s="31"/>
      <c r="E2425" s="30"/>
    </row>
    <row r="2426" spans="3:5" x14ac:dyDescent="0.4">
      <c r="C2426" s="31"/>
      <c r="E2426" s="30"/>
    </row>
    <row r="2427" spans="3:5" x14ac:dyDescent="0.4">
      <c r="C2427" s="31"/>
      <c r="E2427" s="30"/>
    </row>
    <row r="2428" spans="3:5" x14ac:dyDescent="0.4">
      <c r="C2428" s="31"/>
      <c r="E2428" s="30"/>
    </row>
    <row r="2429" spans="3:5" x14ac:dyDescent="0.4">
      <c r="C2429" s="31"/>
      <c r="E2429" s="30"/>
    </row>
    <row r="2430" spans="3:5" x14ac:dyDescent="0.4">
      <c r="C2430" s="31"/>
      <c r="E2430" s="30"/>
    </row>
    <row r="2431" spans="3:5" x14ac:dyDescent="0.4">
      <c r="C2431" s="31"/>
      <c r="E2431" s="30"/>
    </row>
    <row r="2432" spans="3:5" x14ac:dyDescent="0.4">
      <c r="C2432" s="31"/>
      <c r="E2432" s="30"/>
    </row>
    <row r="2433" spans="3:5" x14ac:dyDescent="0.4">
      <c r="C2433" s="31"/>
      <c r="E2433" s="30"/>
    </row>
    <row r="2434" spans="3:5" x14ac:dyDescent="0.4">
      <c r="C2434" s="31"/>
      <c r="E2434" s="30"/>
    </row>
    <row r="2435" spans="3:5" x14ac:dyDescent="0.4">
      <c r="C2435" s="31"/>
      <c r="E2435" s="30"/>
    </row>
    <row r="2436" spans="3:5" x14ac:dyDescent="0.4">
      <c r="C2436" s="31"/>
      <c r="E2436" s="30"/>
    </row>
    <row r="2437" spans="3:5" x14ac:dyDescent="0.4">
      <c r="C2437" s="31"/>
      <c r="E2437" s="30"/>
    </row>
    <row r="2438" spans="3:5" x14ac:dyDescent="0.4">
      <c r="C2438" s="31"/>
      <c r="E2438" s="30"/>
    </row>
    <row r="2439" spans="3:5" x14ac:dyDescent="0.4">
      <c r="C2439" s="31"/>
      <c r="E2439" s="30"/>
    </row>
    <row r="2440" spans="3:5" x14ac:dyDescent="0.4">
      <c r="C2440" s="31"/>
      <c r="E2440" s="30"/>
    </row>
    <row r="2441" spans="3:5" x14ac:dyDescent="0.4">
      <c r="C2441" s="31"/>
      <c r="E2441" s="30"/>
    </row>
    <row r="2442" spans="3:5" x14ac:dyDescent="0.4">
      <c r="C2442" s="31"/>
      <c r="E2442" s="30"/>
    </row>
    <row r="2443" spans="3:5" x14ac:dyDescent="0.4">
      <c r="C2443" s="31"/>
      <c r="E2443" s="30"/>
    </row>
    <row r="2444" spans="3:5" x14ac:dyDescent="0.4">
      <c r="C2444" s="31"/>
      <c r="E2444" s="30"/>
    </row>
    <row r="2445" spans="3:5" x14ac:dyDescent="0.4">
      <c r="C2445" s="31"/>
      <c r="E2445" s="30"/>
    </row>
    <row r="2446" spans="3:5" x14ac:dyDescent="0.4">
      <c r="C2446" s="31"/>
      <c r="E2446" s="30"/>
    </row>
    <row r="2447" spans="3:5" x14ac:dyDescent="0.4">
      <c r="C2447" s="31"/>
      <c r="E2447" s="30"/>
    </row>
    <row r="2448" spans="3:5" x14ac:dyDescent="0.4">
      <c r="C2448" s="31"/>
      <c r="E2448" s="30"/>
    </row>
    <row r="2449" spans="3:5" x14ac:dyDescent="0.4">
      <c r="C2449" s="31"/>
      <c r="E2449" s="30"/>
    </row>
    <row r="2450" spans="3:5" x14ac:dyDescent="0.4">
      <c r="C2450" s="31"/>
      <c r="E2450" s="30"/>
    </row>
    <row r="2451" spans="3:5" x14ac:dyDescent="0.4">
      <c r="C2451" s="31"/>
      <c r="E2451" s="30"/>
    </row>
    <row r="2452" spans="3:5" x14ac:dyDescent="0.4">
      <c r="C2452" s="31"/>
      <c r="E2452" s="30"/>
    </row>
    <row r="2453" spans="3:5" x14ac:dyDescent="0.4">
      <c r="C2453" s="31"/>
      <c r="E2453" s="30"/>
    </row>
    <row r="2454" spans="3:5" x14ac:dyDescent="0.4">
      <c r="C2454" s="31"/>
      <c r="E2454" s="30"/>
    </row>
    <row r="2455" spans="3:5" x14ac:dyDescent="0.4">
      <c r="C2455" s="31"/>
      <c r="E2455" s="30"/>
    </row>
    <row r="2456" spans="3:5" x14ac:dyDescent="0.4">
      <c r="C2456" s="31"/>
      <c r="E2456" s="30"/>
    </row>
    <row r="2457" spans="3:5" x14ac:dyDescent="0.4">
      <c r="C2457" s="31"/>
      <c r="E2457" s="30"/>
    </row>
    <row r="2458" spans="3:5" x14ac:dyDescent="0.4">
      <c r="C2458" s="31"/>
      <c r="E2458" s="30"/>
    </row>
    <row r="2459" spans="3:5" x14ac:dyDescent="0.4">
      <c r="C2459" s="31"/>
      <c r="E2459" s="30"/>
    </row>
    <row r="2460" spans="3:5" x14ac:dyDescent="0.4">
      <c r="C2460" s="31"/>
      <c r="E2460" s="30"/>
    </row>
    <row r="2461" spans="3:5" x14ac:dyDescent="0.4">
      <c r="C2461" s="31"/>
      <c r="E2461" s="30"/>
    </row>
    <row r="2462" spans="3:5" x14ac:dyDescent="0.4">
      <c r="C2462" s="31"/>
      <c r="E2462" s="30"/>
    </row>
    <row r="2463" spans="3:5" x14ac:dyDescent="0.4">
      <c r="C2463" s="31"/>
      <c r="E2463" s="30"/>
    </row>
    <row r="2464" spans="3:5" x14ac:dyDescent="0.4">
      <c r="C2464" s="31"/>
      <c r="E2464" s="30"/>
    </row>
    <row r="2465" spans="3:5" x14ac:dyDescent="0.4">
      <c r="C2465" s="31"/>
      <c r="E2465" s="30"/>
    </row>
    <row r="2466" spans="3:5" x14ac:dyDescent="0.4">
      <c r="C2466" s="31"/>
      <c r="E2466" s="30"/>
    </row>
    <row r="2467" spans="3:5" x14ac:dyDescent="0.4">
      <c r="C2467" s="31"/>
      <c r="E2467" s="30"/>
    </row>
    <row r="2468" spans="3:5" x14ac:dyDescent="0.4">
      <c r="C2468" s="31"/>
      <c r="E2468" s="30"/>
    </row>
    <row r="2469" spans="3:5" x14ac:dyDescent="0.4">
      <c r="C2469" s="31"/>
      <c r="E2469" s="30"/>
    </row>
    <row r="2470" spans="3:5" x14ac:dyDescent="0.4">
      <c r="C2470" s="31"/>
      <c r="E2470" s="30"/>
    </row>
    <row r="2471" spans="3:5" x14ac:dyDescent="0.4">
      <c r="C2471" s="31"/>
      <c r="E2471" s="30"/>
    </row>
    <row r="2472" spans="3:5" x14ac:dyDescent="0.4">
      <c r="C2472" s="31"/>
      <c r="E2472" s="30"/>
    </row>
    <row r="2473" spans="3:5" x14ac:dyDescent="0.4">
      <c r="C2473" s="31"/>
      <c r="E2473" s="30"/>
    </row>
    <row r="2474" spans="3:5" x14ac:dyDescent="0.4">
      <c r="C2474" s="31"/>
      <c r="E2474" s="30"/>
    </row>
    <row r="2475" spans="3:5" x14ac:dyDescent="0.4">
      <c r="C2475" s="31"/>
      <c r="E2475" s="30"/>
    </row>
    <row r="2476" spans="3:5" x14ac:dyDescent="0.4">
      <c r="C2476" s="31"/>
      <c r="E2476" s="30"/>
    </row>
    <row r="2477" spans="3:5" x14ac:dyDescent="0.4">
      <c r="C2477" s="31"/>
      <c r="E2477" s="30"/>
    </row>
    <row r="2478" spans="3:5" x14ac:dyDescent="0.4">
      <c r="C2478" s="31"/>
      <c r="E2478" s="30"/>
    </row>
    <row r="2479" spans="3:5" x14ac:dyDescent="0.4">
      <c r="C2479" s="31"/>
      <c r="E2479" s="30"/>
    </row>
    <row r="2480" spans="3:5" x14ac:dyDescent="0.4">
      <c r="C2480" s="31"/>
      <c r="E2480" s="30"/>
    </row>
    <row r="2481" spans="3:5" x14ac:dyDescent="0.4">
      <c r="C2481" s="31"/>
      <c r="E2481" s="30"/>
    </row>
    <row r="2482" spans="3:5" x14ac:dyDescent="0.4">
      <c r="C2482" s="31"/>
      <c r="E2482" s="30"/>
    </row>
    <row r="2483" spans="3:5" x14ac:dyDescent="0.4">
      <c r="C2483" s="31"/>
      <c r="E2483" s="30"/>
    </row>
    <row r="2484" spans="3:5" x14ac:dyDescent="0.4">
      <c r="C2484" s="31"/>
      <c r="E2484" s="30"/>
    </row>
    <row r="2485" spans="3:5" x14ac:dyDescent="0.4">
      <c r="C2485" s="31"/>
      <c r="E2485" s="30"/>
    </row>
    <row r="2486" spans="3:5" x14ac:dyDescent="0.4">
      <c r="C2486" s="31"/>
      <c r="E2486" s="30"/>
    </row>
    <row r="2487" spans="3:5" x14ac:dyDescent="0.4">
      <c r="C2487" s="31"/>
      <c r="E2487" s="30"/>
    </row>
    <row r="2488" spans="3:5" x14ac:dyDescent="0.4">
      <c r="C2488" s="31"/>
      <c r="E2488" s="30"/>
    </row>
    <row r="2489" spans="3:5" x14ac:dyDescent="0.4">
      <c r="C2489" s="31"/>
      <c r="E2489" s="30"/>
    </row>
    <row r="2490" spans="3:5" x14ac:dyDescent="0.4">
      <c r="C2490" s="31"/>
      <c r="E2490" s="30"/>
    </row>
    <row r="2491" spans="3:5" x14ac:dyDescent="0.4">
      <c r="C2491" s="31"/>
      <c r="E2491" s="30"/>
    </row>
    <row r="2492" spans="3:5" x14ac:dyDescent="0.4">
      <c r="C2492" s="31"/>
      <c r="E2492" s="30"/>
    </row>
    <row r="2493" spans="3:5" x14ac:dyDescent="0.4">
      <c r="C2493" s="31"/>
      <c r="E2493" s="30"/>
    </row>
    <row r="2494" spans="3:5" x14ac:dyDescent="0.4">
      <c r="C2494" s="31"/>
      <c r="E2494" s="30"/>
    </row>
    <row r="2495" spans="3:5" x14ac:dyDescent="0.4">
      <c r="C2495" s="31"/>
      <c r="E2495" s="30"/>
    </row>
    <row r="2496" spans="3:5" x14ac:dyDescent="0.4">
      <c r="C2496" s="31"/>
      <c r="E2496" s="30"/>
    </row>
    <row r="2497" spans="3:5" x14ac:dyDescent="0.4">
      <c r="C2497" s="31"/>
      <c r="E2497" s="30"/>
    </row>
    <row r="2498" spans="3:5" x14ac:dyDescent="0.4">
      <c r="C2498" s="31"/>
      <c r="E2498" s="30"/>
    </row>
    <row r="2499" spans="3:5" x14ac:dyDescent="0.4">
      <c r="C2499" s="31"/>
      <c r="E2499" s="30"/>
    </row>
    <row r="2500" spans="3:5" x14ac:dyDescent="0.4">
      <c r="C2500" s="31"/>
      <c r="E2500" s="30"/>
    </row>
    <row r="2501" spans="3:5" x14ac:dyDescent="0.4">
      <c r="C2501" s="31"/>
      <c r="E2501" s="30"/>
    </row>
    <row r="2502" spans="3:5" x14ac:dyDescent="0.4">
      <c r="C2502" s="31"/>
      <c r="E2502" s="30"/>
    </row>
    <row r="2503" spans="3:5" x14ac:dyDescent="0.4">
      <c r="C2503" s="31"/>
      <c r="E2503" s="30"/>
    </row>
    <row r="2504" spans="3:5" x14ac:dyDescent="0.4">
      <c r="C2504" s="31"/>
      <c r="E2504" s="30"/>
    </row>
    <row r="2505" spans="3:5" x14ac:dyDescent="0.4">
      <c r="C2505" s="31"/>
      <c r="E2505" s="30"/>
    </row>
    <row r="2506" spans="3:5" x14ac:dyDescent="0.4">
      <c r="C2506" s="31"/>
      <c r="E2506" s="30"/>
    </row>
    <row r="2507" spans="3:5" x14ac:dyDescent="0.4">
      <c r="C2507" s="31"/>
      <c r="E2507" s="30"/>
    </row>
    <row r="2508" spans="3:5" x14ac:dyDescent="0.4">
      <c r="C2508" s="31"/>
      <c r="E2508" s="30"/>
    </row>
    <row r="2509" spans="3:5" x14ac:dyDescent="0.4">
      <c r="C2509" s="31"/>
      <c r="E2509" s="30"/>
    </row>
    <row r="2510" spans="3:5" x14ac:dyDescent="0.4">
      <c r="C2510" s="31"/>
      <c r="E2510" s="30"/>
    </row>
    <row r="2511" spans="3:5" x14ac:dyDescent="0.4">
      <c r="C2511" s="31"/>
      <c r="E2511" s="30"/>
    </row>
    <row r="2512" spans="3:5" x14ac:dyDescent="0.4">
      <c r="C2512" s="31"/>
      <c r="E2512" s="30"/>
    </row>
    <row r="2513" spans="3:5" x14ac:dyDescent="0.4">
      <c r="C2513" s="31"/>
      <c r="E2513" s="30"/>
    </row>
    <row r="2514" spans="3:5" x14ac:dyDescent="0.4">
      <c r="C2514" s="31"/>
      <c r="E2514" s="30"/>
    </row>
    <row r="2515" spans="3:5" x14ac:dyDescent="0.4">
      <c r="C2515" s="31"/>
      <c r="E2515" s="30"/>
    </row>
    <row r="2516" spans="3:5" x14ac:dyDescent="0.4">
      <c r="C2516" s="31"/>
      <c r="E2516" s="30"/>
    </row>
    <row r="2517" spans="3:5" x14ac:dyDescent="0.4">
      <c r="C2517" s="31"/>
      <c r="E2517" s="30"/>
    </row>
    <row r="2518" spans="3:5" x14ac:dyDescent="0.4">
      <c r="C2518" s="31"/>
      <c r="E2518" s="30"/>
    </row>
    <row r="2519" spans="3:5" x14ac:dyDescent="0.4">
      <c r="C2519" s="31"/>
      <c r="E2519" s="30"/>
    </row>
    <row r="2520" spans="3:5" x14ac:dyDescent="0.4">
      <c r="C2520" s="31"/>
      <c r="E2520" s="30"/>
    </row>
    <row r="2521" spans="3:5" x14ac:dyDescent="0.4">
      <c r="C2521" s="31"/>
      <c r="E2521" s="30"/>
    </row>
    <row r="2522" spans="3:5" x14ac:dyDescent="0.4">
      <c r="C2522" s="31"/>
      <c r="E2522" s="30"/>
    </row>
    <row r="2523" spans="3:5" x14ac:dyDescent="0.4">
      <c r="C2523" s="31"/>
      <c r="E2523" s="30"/>
    </row>
    <row r="2524" spans="3:5" x14ac:dyDescent="0.4">
      <c r="C2524" s="31"/>
      <c r="E2524" s="30"/>
    </row>
    <row r="2525" spans="3:5" x14ac:dyDescent="0.4">
      <c r="C2525" s="31"/>
      <c r="E2525" s="30"/>
    </row>
    <row r="2526" spans="3:5" x14ac:dyDescent="0.4">
      <c r="C2526" s="31"/>
      <c r="E2526" s="30"/>
    </row>
    <row r="2527" spans="3:5" x14ac:dyDescent="0.4">
      <c r="C2527" s="31"/>
      <c r="E2527" s="30"/>
    </row>
    <row r="2528" spans="3:5" x14ac:dyDescent="0.4">
      <c r="C2528" s="31"/>
      <c r="E2528" s="30"/>
    </row>
    <row r="2529" spans="3:5" x14ac:dyDescent="0.4">
      <c r="C2529" s="31"/>
      <c r="E2529" s="30"/>
    </row>
    <row r="2530" spans="3:5" x14ac:dyDescent="0.4">
      <c r="C2530" s="31"/>
      <c r="E2530" s="30"/>
    </row>
    <row r="2531" spans="3:5" x14ac:dyDescent="0.4">
      <c r="C2531" s="31"/>
      <c r="E2531" s="30"/>
    </row>
    <row r="2532" spans="3:5" x14ac:dyDescent="0.4">
      <c r="C2532" s="31"/>
      <c r="E2532" s="30"/>
    </row>
    <row r="2533" spans="3:5" x14ac:dyDescent="0.4">
      <c r="C2533" s="31"/>
      <c r="E2533" s="30"/>
    </row>
    <row r="2534" spans="3:5" x14ac:dyDescent="0.4">
      <c r="C2534" s="31"/>
      <c r="E2534" s="30"/>
    </row>
    <row r="2535" spans="3:5" x14ac:dyDescent="0.4">
      <c r="C2535" s="31"/>
      <c r="E2535" s="30"/>
    </row>
    <row r="2536" spans="3:5" x14ac:dyDescent="0.4">
      <c r="C2536" s="31"/>
      <c r="E2536" s="30"/>
    </row>
    <row r="2537" spans="3:5" x14ac:dyDescent="0.4">
      <c r="C2537" s="31"/>
      <c r="E2537" s="30"/>
    </row>
    <row r="2538" spans="3:5" x14ac:dyDescent="0.4">
      <c r="C2538" s="31"/>
      <c r="E2538" s="30"/>
    </row>
    <row r="2539" spans="3:5" x14ac:dyDescent="0.4">
      <c r="C2539" s="31"/>
      <c r="E2539" s="30"/>
    </row>
    <row r="2540" spans="3:5" x14ac:dyDescent="0.4">
      <c r="C2540" s="31"/>
      <c r="E2540" s="30"/>
    </row>
    <row r="2541" spans="3:5" x14ac:dyDescent="0.4">
      <c r="C2541" s="31"/>
      <c r="E2541" s="30"/>
    </row>
    <row r="2542" spans="3:5" x14ac:dyDescent="0.4">
      <c r="C2542" s="31"/>
      <c r="E2542" s="30"/>
    </row>
    <row r="2543" spans="3:5" x14ac:dyDescent="0.4">
      <c r="C2543" s="31"/>
      <c r="E2543" s="30"/>
    </row>
    <row r="2544" spans="3:5" x14ac:dyDescent="0.4">
      <c r="C2544" s="31"/>
      <c r="E2544" s="30"/>
    </row>
    <row r="2545" spans="3:5" x14ac:dyDescent="0.4">
      <c r="C2545" s="31"/>
      <c r="E2545" s="30"/>
    </row>
    <row r="2546" spans="3:5" x14ac:dyDescent="0.4">
      <c r="C2546" s="31"/>
      <c r="E2546" s="30"/>
    </row>
    <row r="2547" spans="3:5" x14ac:dyDescent="0.4">
      <c r="C2547" s="31"/>
      <c r="E2547" s="30"/>
    </row>
    <row r="2548" spans="3:5" x14ac:dyDescent="0.4">
      <c r="C2548" s="31"/>
      <c r="E2548" s="30"/>
    </row>
    <row r="2549" spans="3:5" x14ac:dyDescent="0.4">
      <c r="C2549" s="31"/>
      <c r="E2549" s="30"/>
    </row>
    <row r="2550" spans="3:5" x14ac:dyDescent="0.4">
      <c r="C2550" s="31"/>
      <c r="E2550" s="30"/>
    </row>
    <row r="2551" spans="3:5" x14ac:dyDescent="0.4">
      <c r="C2551" s="31"/>
      <c r="E2551" s="30"/>
    </row>
    <row r="2552" spans="3:5" x14ac:dyDescent="0.4">
      <c r="C2552" s="31"/>
      <c r="E2552" s="30"/>
    </row>
    <row r="2553" spans="3:5" x14ac:dyDescent="0.4">
      <c r="C2553" s="31"/>
      <c r="E2553" s="30"/>
    </row>
    <row r="2554" spans="3:5" x14ac:dyDescent="0.4">
      <c r="C2554" s="31"/>
      <c r="E2554" s="30"/>
    </row>
    <row r="2555" spans="3:5" x14ac:dyDescent="0.4">
      <c r="C2555" s="31"/>
      <c r="E2555" s="30"/>
    </row>
    <row r="2556" spans="3:5" x14ac:dyDescent="0.4">
      <c r="C2556" s="31"/>
      <c r="E2556" s="30"/>
    </row>
    <row r="2557" spans="3:5" x14ac:dyDescent="0.4">
      <c r="C2557" s="31"/>
      <c r="E2557" s="30"/>
    </row>
    <row r="2558" spans="3:5" x14ac:dyDescent="0.4">
      <c r="C2558" s="31"/>
      <c r="E2558" s="30"/>
    </row>
    <row r="2559" spans="3:5" x14ac:dyDescent="0.4">
      <c r="C2559" s="31"/>
      <c r="E2559" s="30"/>
    </row>
    <row r="2560" spans="3:5" x14ac:dyDescent="0.4">
      <c r="C2560" s="31"/>
      <c r="E2560" s="30"/>
    </row>
    <row r="2561" spans="3:5" x14ac:dyDescent="0.4">
      <c r="C2561" s="31"/>
      <c r="E2561" s="30"/>
    </row>
    <row r="2562" spans="3:5" x14ac:dyDescent="0.4">
      <c r="C2562" s="31"/>
      <c r="E2562" s="30"/>
    </row>
    <row r="2563" spans="3:5" x14ac:dyDescent="0.4">
      <c r="C2563" s="31"/>
      <c r="E2563" s="30"/>
    </row>
    <row r="2564" spans="3:5" x14ac:dyDescent="0.4">
      <c r="C2564" s="31"/>
      <c r="E2564" s="30"/>
    </row>
    <row r="2565" spans="3:5" x14ac:dyDescent="0.4">
      <c r="C2565" s="31"/>
      <c r="E2565" s="30"/>
    </row>
    <row r="2566" spans="3:5" x14ac:dyDescent="0.4">
      <c r="C2566" s="31"/>
      <c r="E2566" s="30"/>
    </row>
    <row r="2567" spans="3:5" x14ac:dyDescent="0.4">
      <c r="C2567" s="31"/>
      <c r="E2567" s="30"/>
    </row>
    <row r="2568" spans="3:5" x14ac:dyDescent="0.4">
      <c r="C2568" s="31"/>
      <c r="E2568" s="30"/>
    </row>
    <row r="2569" spans="3:5" x14ac:dyDescent="0.4">
      <c r="C2569" s="31"/>
      <c r="E2569" s="30"/>
    </row>
    <row r="2570" spans="3:5" x14ac:dyDescent="0.4">
      <c r="C2570" s="31"/>
      <c r="E2570" s="30"/>
    </row>
    <row r="2571" spans="3:5" x14ac:dyDescent="0.4">
      <c r="C2571" s="31"/>
      <c r="E2571" s="30"/>
    </row>
    <row r="2572" spans="3:5" x14ac:dyDescent="0.4">
      <c r="C2572" s="31"/>
      <c r="E2572" s="30"/>
    </row>
    <row r="2573" spans="3:5" x14ac:dyDescent="0.4">
      <c r="C2573" s="31"/>
      <c r="E2573" s="30"/>
    </row>
    <row r="2574" spans="3:5" x14ac:dyDescent="0.4">
      <c r="C2574" s="31"/>
      <c r="E2574" s="30"/>
    </row>
    <row r="2575" spans="3:5" x14ac:dyDescent="0.4">
      <c r="C2575" s="31"/>
      <c r="E2575" s="30"/>
    </row>
    <row r="2576" spans="3:5" x14ac:dyDescent="0.4">
      <c r="C2576" s="31"/>
      <c r="E2576" s="30"/>
    </row>
    <row r="2577" spans="3:5" x14ac:dyDescent="0.4">
      <c r="C2577" s="31"/>
      <c r="E2577" s="30"/>
    </row>
    <row r="2578" spans="3:5" x14ac:dyDescent="0.4">
      <c r="C2578" s="31"/>
      <c r="E2578" s="30"/>
    </row>
    <row r="2579" spans="3:5" x14ac:dyDescent="0.4">
      <c r="C2579" s="31"/>
      <c r="E2579" s="30"/>
    </row>
    <row r="2580" spans="3:5" x14ac:dyDescent="0.4">
      <c r="C2580" s="31"/>
      <c r="E2580" s="30"/>
    </row>
    <row r="2581" spans="3:5" x14ac:dyDescent="0.4">
      <c r="C2581" s="31"/>
      <c r="E2581" s="30"/>
    </row>
    <row r="2582" spans="3:5" x14ac:dyDescent="0.4">
      <c r="C2582" s="31"/>
      <c r="E2582" s="30"/>
    </row>
    <row r="2583" spans="3:5" x14ac:dyDescent="0.4">
      <c r="C2583" s="31"/>
      <c r="E2583" s="30"/>
    </row>
    <row r="2584" spans="3:5" x14ac:dyDescent="0.4">
      <c r="C2584" s="31"/>
      <c r="E2584" s="30"/>
    </row>
    <row r="2585" spans="3:5" x14ac:dyDescent="0.4">
      <c r="C2585" s="31"/>
      <c r="E2585" s="30"/>
    </row>
    <row r="2586" spans="3:5" x14ac:dyDescent="0.4">
      <c r="C2586" s="31"/>
      <c r="E2586" s="30"/>
    </row>
    <row r="2587" spans="3:5" x14ac:dyDescent="0.4">
      <c r="C2587" s="31"/>
      <c r="E2587" s="30"/>
    </row>
    <row r="2588" spans="3:5" x14ac:dyDescent="0.4">
      <c r="C2588" s="31"/>
      <c r="E2588" s="30"/>
    </row>
    <row r="2589" spans="3:5" x14ac:dyDescent="0.4">
      <c r="C2589" s="31"/>
      <c r="E2589" s="30"/>
    </row>
    <row r="2590" spans="3:5" x14ac:dyDescent="0.4">
      <c r="C2590" s="31"/>
      <c r="E2590" s="30"/>
    </row>
    <row r="2591" spans="3:5" x14ac:dyDescent="0.4">
      <c r="C2591" s="31"/>
      <c r="E2591" s="30"/>
    </row>
    <row r="2592" spans="3:5" x14ac:dyDescent="0.4">
      <c r="C2592" s="31"/>
      <c r="E2592" s="30"/>
    </row>
    <row r="2593" spans="3:5" x14ac:dyDescent="0.4">
      <c r="C2593" s="31"/>
      <c r="E2593" s="30"/>
    </row>
    <row r="2594" spans="3:5" x14ac:dyDescent="0.4">
      <c r="C2594" s="31"/>
      <c r="E2594" s="30"/>
    </row>
    <row r="2595" spans="3:5" x14ac:dyDescent="0.4">
      <c r="C2595" s="31"/>
      <c r="E2595" s="30"/>
    </row>
    <row r="2596" spans="3:5" x14ac:dyDescent="0.4">
      <c r="C2596" s="31"/>
      <c r="E2596" s="30"/>
    </row>
    <row r="2597" spans="3:5" x14ac:dyDescent="0.4">
      <c r="C2597" s="31"/>
      <c r="E2597" s="30"/>
    </row>
    <row r="2598" spans="3:5" x14ac:dyDescent="0.4">
      <c r="C2598" s="31"/>
      <c r="E2598" s="30"/>
    </row>
    <row r="2599" spans="3:5" x14ac:dyDescent="0.4">
      <c r="C2599" s="31"/>
      <c r="E2599" s="30"/>
    </row>
    <row r="2600" spans="3:5" x14ac:dyDescent="0.4">
      <c r="C2600" s="31"/>
      <c r="E2600" s="30"/>
    </row>
    <row r="2601" spans="3:5" x14ac:dyDescent="0.4">
      <c r="C2601" s="31"/>
      <c r="E2601" s="30"/>
    </row>
    <row r="2602" spans="3:5" x14ac:dyDescent="0.4">
      <c r="C2602" s="31"/>
      <c r="E2602" s="30"/>
    </row>
    <row r="2603" spans="3:5" x14ac:dyDescent="0.4">
      <c r="C2603" s="31"/>
      <c r="E2603" s="30"/>
    </row>
    <row r="2604" spans="3:5" x14ac:dyDescent="0.4">
      <c r="C2604" s="31"/>
      <c r="E2604" s="30"/>
    </row>
    <row r="2605" spans="3:5" x14ac:dyDescent="0.4">
      <c r="C2605" s="31"/>
      <c r="E2605" s="30"/>
    </row>
    <row r="2606" spans="3:5" x14ac:dyDescent="0.4">
      <c r="C2606" s="31"/>
      <c r="E2606" s="30"/>
    </row>
    <row r="2607" spans="3:5" x14ac:dyDescent="0.4">
      <c r="C2607" s="31"/>
      <c r="E2607" s="30"/>
    </row>
    <row r="2608" spans="3:5" x14ac:dyDescent="0.4">
      <c r="C2608" s="31"/>
      <c r="E2608" s="30"/>
    </row>
    <row r="2609" spans="3:5" x14ac:dyDescent="0.4">
      <c r="C2609" s="31"/>
      <c r="E2609" s="30"/>
    </row>
    <row r="2610" spans="3:5" x14ac:dyDescent="0.4">
      <c r="C2610" s="31"/>
      <c r="E2610" s="30"/>
    </row>
    <row r="2611" spans="3:5" x14ac:dyDescent="0.4">
      <c r="C2611" s="31"/>
      <c r="E2611" s="30"/>
    </row>
    <row r="2612" spans="3:5" x14ac:dyDescent="0.4">
      <c r="C2612" s="31"/>
      <c r="E2612" s="30"/>
    </row>
    <row r="2613" spans="3:5" x14ac:dyDescent="0.4">
      <c r="C2613" s="31"/>
      <c r="E2613" s="30"/>
    </row>
    <row r="2614" spans="3:5" x14ac:dyDescent="0.4">
      <c r="C2614" s="31"/>
      <c r="E2614" s="30"/>
    </row>
    <row r="2615" spans="3:5" x14ac:dyDescent="0.4">
      <c r="C2615" s="31"/>
      <c r="E2615" s="30"/>
    </row>
    <row r="2616" spans="3:5" x14ac:dyDescent="0.4">
      <c r="C2616" s="31"/>
      <c r="E2616" s="30"/>
    </row>
    <row r="2617" spans="3:5" x14ac:dyDescent="0.4">
      <c r="C2617" s="31"/>
      <c r="E2617" s="30"/>
    </row>
    <row r="2618" spans="3:5" x14ac:dyDescent="0.4">
      <c r="C2618" s="31"/>
      <c r="E2618" s="30"/>
    </row>
    <row r="2619" spans="3:5" x14ac:dyDescent="0.4">
      <c r="C2619" s="31"/>
      <c r="E2619" s="30"/>
    </row>
    <row r="2620" spans="3:5" x14ac:dyDescent="0.4">
      <c r="C2620" s="31"/>
      <c r="E2620" s="30"/>
    </row>
    <row r="2621" spans="3:5" x14ac:dyDescent="0.4">
      <c r="C2621" s="31"/>
      <c r="E2621" s="30"/>
    </row>
    <row r="2622" spans="3:5" x14ac:dyDescent="0.4">
      <c r="C2622" s="31"/>
      <c r="E2622" s="30"/>
    </row>
    <row r="2623" spans="3:5" x14ac:dyDescent="0.4">
      <c r="C2623" s="31"/>
      <c r="E2623" s="30"/>
    </row>
    <row r="2624" spans="3:5" x14ac:dyDescent="0.4">
      <c r="C2624" s="31"/>
      <c r="E2624" s="30"/>
    </row>
    <row r="2625" spans="3:5" x14ac:dyDescent="0.4">
      <c r="C2625" s="31"/>
      <c r="E2625" s="30"/>
    </row>
    <row r="2626" spans="3:5" x14ac:dyDescent="0.4">
      <c r="C2626" s="31"/>
      <c r="E2626" s="30"/>
    </row>
    <row r="2627" spans="3:5" x14ac:dyDescent="0.4">
      <c r="C2627" s="31"/>
      <c r="E2627" s="30"/>
    </row>
    <row r="2628" spans="3:5" x14ac:dyDescent="0.4">
      <c r="C2628" s="31"/>
      <c r="E2628" s="30"/>
    </row>
    <row r="2629" spans="3:5" x14ac:dyDescent="0.4">
      <c r="C2629" s="31"/>
      <c r="E2629" s="30"/>
    </row>
    <row r="2630" spans="3:5" x14ac:dyDescent="0.4">
      <c r="C2630" s="31"/>
      <c r="E2630" s="30"/>
    </row>
    <row r="2631" spans="3:5" x14ac:dyDescent="0.4">
      <c r="C2631" s="31"/>
      <c r="E2631" s="30"/>
    </row>
    <row r="2632" spans="3:5" x14ac:dyDescent="0.4">
      <c r="C2632" s="31"/>
      <c r="E2632" s="30"/>
    </row>
    <row r="2633" spans="3:5" x14ac:dyDescent="0.4">
      <c r="C2633" s="31"/>
      <c r="E2633" s="30"/>
    </row>
    <row r="2634" spans="3:5" x14ac:dyDescent="0.4">
      <c r="C2634" s="31"/>
      <c r="E2634" s="30"/>
    </row>
    <row r="2635" spans="3:5" x14ac:dyDescent="0.4">
      <c r="C2635" s="31"/>
      <c r="E2635" s="30"/>
    </row>
    <row r="2636" spans="3:5" x14ac:dyDescent="0.4">
      <c r="C2636" s="31"/>
      <c r="E2636" s="30"/>
    </row>
    <row r="2637" spans="3:5" x14ac:dyDescent="0.4">
      <c r="C2637" s="31"/>
      <c r="E2637" s="30"/>
    </row>
    <row r="2638" spans="3:5" x14ac:dyDescent="0.4">
      <c r="C2638" s="31"/>
      <c r="E2638" s="30"/>
    </row>
    <row r="2639" spans="3:5" x14ac:dyDescent="0.4">
      <c r="C2639" s="31"/>
      <c r="E2639" s="30"/>
    </row>
    <row r="2640" spans="3:5" x14ac:dyDescent="0.4">
      <c r="C2640" s="31"/>
      <c r="E2640" s="30"/>
    </row>
    <row r="2641" spans="3:5" x14ac:dyDescent="0.4">
      <c r="C2641" s="31"/>
      <c r="E2641" s="30"/>
    </row>
    <row r="2642" spans="3:5" x14ac:dyDescent="0.4">
      <c r="C2642" s="31"/>
      <c r="E2642" s="30"/>
    </row>
    <row r="2643" spans="3:5" x14ac:dyDescent="0.4">
      <c r="C2643" s="31"/>
      <c r="E2643" s="30"/>
    </row>
    <row r="2644" spans="3:5" x14ac:dyDescent="0.4">
      <c r="C2644" s="31"/>
      <c r="E2644" s="30"/>
    </row>
    <row r="2645" spans="3:5" x14ac:dyDescent="0.4">
      <c r="C2645" s="31"/>
      <c r="E2645" s="30"/>
    </row>
    <row r="2646" spans="3:5" x14ac:dyDescent="0.4">
      <c r="C2646" s="31"/>
      <c r="E2646" s="30"/>
    </row>
    <row r="2647" spans="3:5" x14ac:dyDescent="0.4">
      <c r="C2647" s="31"/>
      <c r="E2647" s="30"/>
    </row>
    <row r="2648" spans="3:5" x14ac:dyDescent="0.4">
      <c r="C2648" s="31"/>
      <c r="E2648" s="30"/>
    </row>
    <row r="2649" spans="3:5" x14ac:dyDescent="0.4">
      <c r="C2649" s="31"/>
      <c r="E2649" s="30"/>
    </row>
    <row r="2650" spans="3:5" x14ac:dyDescent="0.4">
      <c r="C2650" s="31"/>
      <c r="E2650" s="30"/>
    </row>
    <row r="2651" spans="3:5" x14ac:dyDescent="0.4">
      <c r="C2651" s="31"/>
      <c r="E2651" s="30"/>
    </row>
    <row r="2652" spans="3:5" x14ac:dyDescent="0.4">
      <c r="C2652" s="31"/>
      <c r="E2652" s="30"/>
    </row>
    <row r="2653" spans="3:5" x14ac:dyDescent="0.4">
      <c r="C2653" s="31"/>
      <c r="E2653" s="30"/>
    </row>
    <row r="2654" spans="3:5" x14ac:dyDescent="0.4">
      <c r="C2654" s="31"/>
      <c r="E2654" s="30"/>
    </row>
    <row r="2655" spans="3:5" x14ac:dyDescent="0.4">
      <c r="C2655" s="31"/>
      <c r="E2655" s="30"/>
    </row>
    <row r="2656" spans="3:5" x14ac:dyDescent="0.4">
      <c r="C2656" s="31"/>
      <c r="E2656" s="30"/>
    </row>
    <row r="2657" spans="3:5" x14ac:dyDescent="0.4">
      <c r="C2657" s="31"/>
      <c r="E2657" s="30"/>
    </row>
    <row r="2658" spans="3:5" x14ac:dyDescent="0.4">
      <c r="C2658" s="31"/>
      <c r="E2658" s="30"/>
    </row>
    <row r="2659" spans="3:5" x14ac:dyDescent="0.4">
      <c r="C2659" s="31"/>
      <c r="E2659" s="30"/>
    </row>
    <row r="2660" spans="3:5" x14ac:dyDescent="0.4">
      <c r="C2660" s="31"/>
      <c r="E2660" s="30"/>
    </row>
    <row r="2661" spans="3:5" x14ac:dyDescent="0.4">
      <c r="C2661" s="31"/>
      <c r="E2661" s="30"/>
    </row>
    <row r="2662" spans="3:5" x14ac:dyDescent="0.4">
      <c r="C2662" s="31"/>
      <c r="E2662" s="30"/>
    </row>
    <row r="2663" spans="3:5" x14ac:dyDescent="0.4">
      <c r="C2663" s="31"/>
      <c r="E2663" s="30"/>
    </row>
    <row r="2664" spans="3:5" x14ac:dyDescent="0.4">
      <c r="C2664" s="31"/>
      <c r="E2664" s="30"/>
    </row>
    <row r="2665" spans="3:5" x14ac:dyDescent="0.4">
      <c r="C2665" s="31"/>
      <c r="E2665" s="30"/>
    </row>
    <row r="2666" spans="3:5" x14ac:dyDescent="0.4">
      <c r="C2666" s="31"/>
      <c r="E2666" s="30"/>
    </row>
    <row r="2667" spans="3:5" x14ac:dyDescent="0.4">
      <c r="C2667" s="31"/>
      <c r="E2667" s="30"/>
    </row>
    <row r="2668" spans="3:5" x14ac:dyDescent="0.4">
      <c r="C2668" s="31"/>
      <c r="E2668" s="30"/>
    </row>
    <row r="2669" spans="3:5" x14ac:dyDescent="0.4">
      <c r="C2669" s="31"/>
      <c r="E2669" s="30"/>
    </row>
    <row r="2670" spans="3:5" x14ac:dyDescent="0.4">
      <c r="C2670" s="31"/>
      <c r="E2670" s="30"/>
    </row>
    <row r="2671" spans="3:5" x14ac:dyDescent="0.4">
      <c r="C2671" s="31"/>
      <c r="E2671" s="30"/>
    </row>
    <row r="2672" spans="3:5" x14ac:dyDescent="0.4">
      <c r="C2672" s="31"/>
      <c r="E2672" s="30"/>
    </row>
    <row r="2673" spans="3:5" x14ac:dyDescent="0.4">
      <c r="C2673" s="31"/>
      <c r="E2673" s="30"/>
    </row>
    <row r="2674" spans="3:5" x14ac:dyDescent="0.4">
      <c r="C2674" s="31"/>
      <c r="E2674" s="30"/>
    </row>
    <row r="2675" spans="3:5" x14ac:dyDescent="0.4">
      <c r="C2675" s="31"/>
      <c r="E2675" s="30"/>
    </row>
    <row r="2676" spans="3:5" x14ac:dyDescent="0.4">
      <c r="C2676" s="31"/>
      <c r="E2676" s="30"/>
    </row>
    <row r="2677" spans="3:5" x14ac:dyDescent="0.4">
      <c r="C2677" s="31"/>
      <c r="E2677" s="30"/>
    </row>
    <row r="2678" spans="3:5" x14ac:dyDescent="0.4">
      <c r="C2678" s="31"/>
      <c r="E2678" s="30"/>
    </row>
    <row r="2679" spans="3:5" x14ac:dyDescent="0.4">
      <c r="C2679" s="31"/>
      <c r="E2679" s="30"/>
    </row>
    <row r="2680" spans="3:5" x14ac:dyDescent="0.4">
      <c r="C2680" s="31"/>
      <c r="E2680" s="30"/>
    </row>
    <row r="2681" spans="3:5" x14ac:dyDescent="0.4">
      <c r="C2681" s="31"/>
      <c r="E2681" s="30"/>
    </row>
    <row r="2682" spans="3:5" x14ac:dyDescent="0.4">
      <c r="C2682" s="31"/>
      <c r="E2682" s="30"/>
    </row>
    <row r="2683" spans="3:5" x14ac:dyDescent="0.4">
      <c r="C2683" s="31"/>
      <c r="E2683" s="30"/>
    </row>
    <row r="2684" spans="3:5" x14ac:dyDescent="0.4">
      <c r="C2684" s="31"/>
      <c r="E2684" s="30"/>
    </row>
    <row r="2685" spans="3:5" x14ac:dyDescent="0.4">
      <c r="C2685" s="31"/>
      <c r="E2685" s="30"/>
    </row>
    <row r="2686" spans="3:5" x14ac:dyDescent="0.4">
      <c r="C2686" s="31"/>
      <c r="E2686" s="30"/>
    </row>
    <row r="2687" spans="3:5" x14ac:dyDescent="0.4">
      <c r="C2687" s="31"/>
      <c r="E2687" s="30"/>
    </row>
    <row r="2688" spans="3:5" x14ac:dyDescent="0.4">
      <c r="C2688" s="31"/>
      <c r="E2688" s="30"/>
    </row>
    <row r="2689" spans="3:5" x14ac:dyDescent="0.4">
      <c r="C2689" s="31"/>
      <c r="E2689" s="30"/>
    </row>
    <row r="2690" spans="3:5" x14ac:dyDescent="0.4">
      <c r="C2690" s="31"/>
      <c r="E2690" s="30"/>
    </row>
    <row r="2691" spans="3:5" x14ac:dyDescent="0.4">
      <c r="C2691" s="31"/>
      <c r="E2691" s="30"/>
    </row>
    <row r="2692" spans="3:5" x14ac:dyDescent="0.4">
      <c r="C2692" s="31"/>
      <c r="E2692" s="30"/>
    </row>
    <row r="2693" spans="3:5" x14ac:dyDescent="0.4">
      <c r="C2693" s="31"/>
      <c r="E2693" s="30"/>
    </row>
    <row r="2694" spans="3:5" x14ac:dyDescent="0.4">
      <c r="C2694" s="31"/>
      <c r="E2694" s="30"/>
    </row>
    <row r="2695" spans="3:5" x14ac:dyDescent="0.4">
      <c r="C2695" s="31"/>
      <c r="E2695" s="30"/>
    </row>
    <row r="2696" spans="3:5" x14ac:dyDescent="0.4">
      <c r="C2696" s="31"/>
      <c r="E2696" s="30"/>
    </row>
    <row r="2697" spans="3:5" x14ac:dyDescent="0.4">
      <c r="C2697" s="31"/>
      <c r="E2697" s="30"/>
    </row>
    <row r="2698" spans="3:5" x14ac:dyDescent="0.4">
      <c r="C2698" s="31"/>
      <c r="E2698" s="30"/>
    </row>
    <row r="2699" spans="3:5" x14ac:dyDescent="0.4">
      <c r="C2699" s="31"/>
      <c r="E2699" s="30"/>
    </row>
    <row r="2700" spans="3:5" x14ac:dyDescent="0.4">
      <c r="C2700" s="31"/>
      <c r="E2700" s="30"/>
    </row>
    <row r="2701" spans="3:5" x14ac:dyDescent="0.4">
      <c r="C2701" s="31"/>
      <c r="E2701" s="30"/>
    </row>
    <row r="2702" spans="3:5" x14ac:dyDescent="0.4">
      <c r="C2702" s="31"/>
      <c r="E2702" s="30"/>
    </row>
    <row r="2703" spans="3:5" x14ac:dyDescent="0.4">
      <c r="C2703" s="31"/>
      <c r="E2703" s="30"/>
    </row>
    <row r="2704" spans="3:5" x14ac:dyDescent="0.4">
      <c r="C2704" s="31"/>
      <c r="E2704" s="30"/>
    </row>
    <row r="2705" spans="3:5" x14ac:dyDescent="0.4">
      <c r="C2705" s="31"/>
      <c r="E2705" s="30"/>
    </row>
    <row r="2706" spans="3:5" x14ac:dyDescent="0.4">
      <c r="C2706" s="31"/>
      <c r="E2706" s="30"/>
    </row>
    <row r="2707" spans="3:5" x14ac:dyDescent="0.4">
      <c r="C2707" s="31"/>
      <c r="E2707" s="30"/>
    </row>
    <row r="2708" spans="3:5" x14ac:dyDescent="0.4">
      <c r="C2708" s="31"/>
      <c r="E2708" s="30"/>
    </row>
    <row r="2709" spans="3:5" x14ac:dyDescent="0.4">
      <c r="C2709" s="31"/>
      <c r="E2709" s="30"/>
    </row>
    <row r="2710" spans="3:5" x14ac:dyDescent="0.4">
      <c r="C2710" s="31"/>
      <c r="E2710" s="30"/>
    </row>
    <row r="2711" spans="3:5" x14ac:dyDescent="0.4">
      <c r="C2711" s="31"/>
      <c r="E2711" s="30"/>
    </row>
    <row r="2712" spans="3:5" x14ac:dyDescent="0.4">
      <c r="C2712" s="31"/>
      <c r="E2712" s="30"/>
    </row>
    <row r="2713" spans="3:5" x14ac:dyDescent="0.4">
      <c r="C2713" s="31"/>
      <c r="E2713" s="30"/>
    </row>
    <row r="2714" spans="3:5" x14ac:dyDescent="0.4">
      <c r="C2714" s="31"/>
      <c r="E2714" s="30"/>
    </row>
    <row r="2715" spans="3:5" x14ac:dyDescent="0.4">
      <c r="C2715" s="31"/>
      <c r="E2715" s="30"/>
    </row>
    <row r="2716" spans="3:5" x14ac:dyDescent="0.4">
      <c r="C2716" s="31"/>
      <c r="E2716" s="30"/>
    </row>
    <row r="2717" spans="3:5" x14ac:dyDescent="0.4">
      <c r="C2717" s="31"/>
      <c r="E2717" s="30"/>
    </row>
    <row r="2718" spans="3:5" x14ac:dyDescent="0.4">
      <c r="C2718" s="31"/>
      <c r="E2718" s="30"/>
    </row>
    <row r="2719" spans="3:5" x14ac:dyDescent="0.4">
      <c r="C2719" s="31"/>
      <c r="E2719" s="30"/>
    </row>
    <row r="2720" spans="3:5" x14ac:dyDescent="0.4">
      <c r="C2720" s="31"/>
      <c r="E2720" s="30"/>
    </row>
    <row r="2721" spans="3:5" x14ac:dyDescent="0.4">
      <c r="C2721" s="31"/>
      <c r="E2721" s="30"/>
    </row>
    <row r="2722" spans="3:5" x14ac:dyDescent="0.4">
      <c r="C2722" s="31"/>
      <c r="E2722" s="30"/>
    </row>
    <row r="2723" spans="3:5" x14ac:dyDescent="0.4">
      <c r="C2723" s="31"/>
      <c r="E2723" s="30"/>
    </row>
    <row r="2724" spans="3:5" x14ac:dyDescent="0.4">
      <c r="C2724" s="31"/>
      <c r="E2724" s="30"/>
    </row>
    <row r="2725" spans="3:5" x14ac:dyDescent="0.4">
      <c r="C2725" s="31"/>
      <c r="E2725" s="30"/>
    </row>
    <row r="2726" spans="3:5" x14ac:dyDescent="0.4">
      <c r="C2726" s="31"/>
      <c r="E2726" s="30"/>
    </row>
    <row r="2727" spans="3:5" x14ac:dyDescent="0.4">
      <c r="C2727" s="31"/>
      <c r="E2727" s="30"/>
    </row>
    <row r="2728" spans="3:5" x14ac:dyDescent="0.4">
      <c r="C2728" s="31"/>
      <c r="E2728" s="30"/>
    </row>
    <row r="2729" spans="3:5" x14ac:dyDescent="0.4">
      <c r="C2729" s="31"/>
      <c r="E2729" s="30"/>
    </row>
    <row r="2730" spans="3:5" x14ac:dyDescent="0.4">
      <c r="C2730" s="31"/>
      <c r="E2730" s="30"/>
    </row>
    <row r="2731" spans="3:5" x14ac:dyDescent="0.4">
      <c r="C2731" s="31"/>
      <c r="E2731" s="30"/>
    </row>
    <row r="2732" spans="3:5" x14ac:dyDescent="0.4">
      <c r="C2732" s="31"/>
      <c r="E2732" s="30"/>
    </row>
    <row r="2733" spans="3:5" x14ac:dyDescent="0.4">
      <c r="C2733" s="31"/>
      <c r="E2733" s="30"/>
    </row>
    <row r="2734" spans="3:5" x14ac:dyDescent="0.4">
      <c r="C2734" s="31"/>
      <c r="E2734" s="30"/>
    </row>
    <row r="2735" spans="3:5" x14ac:dyDescent="0.4">
      <c r="C2735" s="31"/>
      <c r="E2735" s="30"/>
    </row>
    <row r="2736" spans="3:5" x14ac:dyDescent="0.4">
      <c r="C2736" s="31"/>
      <c r="E2736" s="30"/>
    </row>
    <row r="2737" spans="3:5" x14ac:dyDescent="0.4">
      <c r="C2737" s="31"/>
      <c r="E2737" s="30"/>
    </row>
    <row r="2738" spans="3:5" x14ac:dyDescent="0.4">
      <c r="C2738" s="31"/>
      <c r="E2738" s="30"/>
    </row>
    <row r="2739" spans="3:5" x14ac:dyDescent="0.4">
      <c r="C2739" s="31"/>
      <c r="E2739" s="30"/>
    </row>
    <row r="2740" spans="3:5" x14ac:dyDescent="0.4">
      <c r="C2740" s="31"/>
      <c r="E2740" s="30"/>
    </row>
    <row r="2741" spans="3:5" x14ac:dyDescent="0.4">
      <c r="C2741" s="31"/>
      <c r="E2741" s="30"/>
    </row>
    <row r="2742" spans="3:5" x14ac:dyDescent="0.4">
      <c r="C2742" s="31"/>
      <c r="E2742" s="30"/>
    </row>
    <row r="2743" spans="3:5" x14ac:dyDescent="0.4">
      <c r="C2743" s="31"/>
      <c r="E2743" s="30"/>
    </row>
    <row r="2744" spans="3:5" x14ac:dyDescent="0.4">
      <c r="C2744" s="31"/>
      <c r="E2744" s="30"/>
    </row>
    <row r="2745" spans="3:5" x14ac:dyDescent="0.4">
      <c r="C2745" s="31"/>
      <c r="E2745" s="30"/>
    </row>
    <row r="2746" spans="3:5" x14ac:dyDescent="0.4">
      <c r="C2746" s="31"/>
      <c r="E2746" s="30"/>
    </row>
    <row r="2747" spans="3:5" x14ac:dyDescent="0.4">
      <c r="C2747" s="31"/>
      <c r="E2747" s="30"/>
    </row>
    <row r="2748" spans="3:5" x14ac:dyDescent="0.4">
      <c r="C2748" s="31"/>
      <c r="E2748" s="30"/>
    </row>
    <row r="2749" spans="3:5" x14ac:dyDescent="0.4">
      <c r="C2749" s="31"/>
      <c r="E2749" s="30"/>
    </row>
    <row r="2750" spans="3:5" x14ac:dyDescent="0.4">
      <c r="C2750" s="31"/>
      <c r="E2750" s="30"/>
    </row>
    <row r="2751" spans="3:5" x14ac:dyDescent="0.4">
      <c r="C2751" s="31"/>
      <c r="E2751" s="30"/>
    </row>
    <row r="2752" spans="3:5" x14ac:dyDescent="0.4">
      <c r="C2752" s="31"/>
      <c r="E2752" s="30"/>
    </row>
    <row r="2753" spans="3:5" x14ac:dyDescent="0.4">
      <c r="C2753" s="31"/>
      <c r="E2753" s="30"/>
    </row>
    <row r="2754" spans="3:5" x14ac:dyDescent="0.4">
      <c r="C2754" s="31"/>
      <c r="E2754" s="30"/>
    </row>
    <row r="2755" spans="3:5" x14ac:dyDescent="0.4">
      <c r="C2755" s="31"/>
      <c r="E2755" s="30"/>
    </row>
    <row r="2756" spans="3:5" x14ac:dyDescent="0.4">
      <c r="C2756" s="31"/>
      <c r="E2756" s="30"/>
    </row>
    <row r="2757" spans="3:5" x14ac:dyDescent="0.4">
      <c r="C2757" s="31"/>
      <c r="E2757" s="30"/>
    </row>
    <row r="2758" spans="3:5" x14ac:dyDescent="0.4">
      <c r="C2758" s="31"/>
      <c r="E2758" s="30"/>
    </row>
    <row r="2759" spans="3:5" x14ac:dyDescent="0.4">
      <c r="C2759" s="31"/>
      <c r="E2759" s="30"/>
    </row>
    <row r="2760" spans="3:5" x14ac:dyDescent="0.4">
      <c r="C2760" s="31"/>
      <c r="E2760" s="30"/>
    </row>
    <row r="2761" spans="3:5" x14ac:dyDescent="0.4">
      <c r="C2761" s="31"/>
      <c r="E2761" s="30"/>
    </row>
    <row r="2762" spans="3:5" x14ac:dyDescent="0.4">
      <c r="C2762" s="31"/>
      <c r="E2762" s="30"/>
    </row>
    <row r="2763" spans="3:5" x14ac:dyDescent="0.4">
      <c r="C2763" s="31"/>
      <c r="E2763" s="30"/>
    </row>
    <row r="2764" spans="3:5" x14ac:dyDescent="0.4">
      <c r="C2764" s="31"/>
      <c r="E2764" s="30"/>
    </row>
    <row r="2765" spans="3:5" x14ac:dyDescent="0.4">
      <c r="C2765" s="31"/>
      <c r="E2765" s="30"/>
    </row>
    <row r="2766" spans="3:5" x14ac:dyDescent="0.4">
      <c r="C2766" s="31"/>
      <c r="E2766" s="30"/>
    </row>
    <row r="2767" spans="3:5" x14ac:dyDescent="0.4">
      <c r="C2767" s="31"/>
      <c r="E2767" s="30"/>
    </row>
    <row r="2768" spans="3:5" x14ac:dyDescent="0.4">
      <c r="C2768" s="31"/>
      <c r="E2768" s="30"/>
    </row>
    <row r="2769" spans="3:5" x14ac:dyDescent="0.4">
      <c r="C2769" s="31"/>
      <c r="E2769" s="30"/>
    </row>
    <row r="2770" spans="3:5" x14ac:dyDescent="0.4">
      <c r="C2770" s="31"/>
      <c r="E2770" s="30"/>
    </row>
    <row r="2771" spans="3:5" x14ac:dyDescent="0.4">
      <c r="C2771" s="31"/>
      <c r="E2771" s="30"/>
    </row>
    <row r="2772" spans="3:5" x14ac:dyDescent="0.4">
      <c r="C2772" s="31"/>
      <c r="E2772" s="30"/>
    </row>
    <row r="2773" spans="3:5" x14ac:dyDescent="0.4">
      <c r="C2773" s="31"/>
      <c r="E2773" s="30"/>
    </row>
    <row r="2774" spans="3:5" x14ac:dyDescent="0.4">
      <c r="C2774" s="31"/>
      <c r="E2774" s="30"/>
    </row>
    <row r="2775" spans="3:5" x14ac:dyDescent="0.4">
      <c r="C2775" s="31"/>
      <c r="E2775" s="30"/>
    </row>
    <row r="2776" spans="3:5" x14ac:dyDescent="0.4">
      <c r="C2776" s="31"/>
      <c r="E2776" s="30"/>
    </row>
    <row r="2777" spans="3:5" x14ac:dyDescent="0.4">
      <c r="C2777" s="31"/>
      <c r="E2777" s="30"/>
    </row>
    <row r="2778" spans="3:5" x14ac:dyDescent="0.4">
      <c r="C2778" s="31"/>
      <c r="E2778" s="30"/>
    </row>
    <row r="2779" spans="3:5" x14ac:dyDescent="0.4">
      <c r="C2779" s="31"/>
      <c r="E2779" s="30"/>
    </row>
    <row r="2780" spans="3:5" x14ac:dyDescent="0.4">
      <c r="C2780" s="31"/>
      <c r="E2780" s="30"/>
    </row>
    <row r="2781" spans="3:5" x14ac:dyDescent="0.4">
      <c r="C2781" s="31"/>
      <c r="E2781" s="30"/>
    </row>
    <row r="2782" spans="3:5" x14ac:dyDescent="0.4">
      <c r="C2782" s="31"/>
      <c r="E2782" s="30"/>
    </row>
    <row r="2783" spans="3:5" x14ac:dyDescent="0.4">
      <c r="C2783" s="31"/>
      <c r="E2783" s="30"/>
    </row>
    <row r="2784" spans="3:5" x14ac:dyDescent="0.4">
      <c r="C2784" s="31"/>
      <c r="E2784" s="30"/>
    </row>
    <row r="2785" spans="3:5" x14ac:dyDescent="0.4">
      <c r="C2785" s="31"/>
      <c r="E2785" s="30"/>
    </row>
    <row r="2786" spans="3:5" x14ac:dyDescent="0.4">
      <c r="C2786" s="31"/>
      <c r="E2786" s="30"/>
    </row>
    <row r="2787" spans="3:5" x14ac:dyDescent="0.4">
      <c r="C2787" s="31"/>
      <c r="E2787" s="30"/>
    </row>
    <row r="2788" spans="3:5" x14ac:dyDescent="0.4">
      <c r="C2788" s="31"/>
      <c r="E2788" s="30"/>
    </row>
    <row r="2789" spans="3:5" x14ac:dyDescent="0.4">
      <c r="C2789" s="31"/>
      <c r="E2789" s="30"/>
    </row>
    <row r="2790" spans="3:5" x14ac:dyDescent="0.4">
      <c r="C2790" s="31"/>
      <c r="E2790" s="30"/>
    </row>
    <row r="2791" spans="3:5" x14ac:dyDescent="0.4">
      <c r="C2791" s="31"/>
      <c r="E2791" s="30"/>
    </row>
    <row r="2792" spans="3:5" x14ac:dyDescent="0.4">
      <c r="C2792" s="31"/>
      <c r="E2792" s="30"/>
    </row>
    <row r="2793" spans="3:5" x14ac:dyDescent="0.4">
      <c r="C2793" s="31"/>
      <c r="E2793" s="30"/>
    </row>
    <row r="2794" spans="3:5" x14ac:dyDescent="0.4">
      <c r="C2794" s="31"/>
      <c r="E2794" s="30"/>
    </row>
    <row r="2795" spans="3:5" x14ac:dyDescent="0.4">
      <c r="C2795" s="31"/>
      <c r="E2795" s="30"/>
    </row>
    <row r="2796" spans="3:5" x14ac:dyDescent="0.4">
      <c r="C2796" s="31"/>
      <c r="E2796" s="30"/>
    </row>
    <row r="2797" spans="3:5" x14ac:dyDescent="0.4">
      <c r="C2797" s="31"/>
      <c r="E2797" s="30"/>
    </row>
    <row r="2798" spans="3:5" x14ac:dyDescent="0.4">
      <c r="C2798" s="31"/>
      <c r="E2798" s="30"/>
    </row>
    <row r="2799" spans="3:5" x14ac:dyDescent="0.4">
      <c r="C2799" s="31"/>
      <c r="E2799" s="30"/>
    </row>
    <row r="2800" spans="3:5" x14ac:dyDescent="0.4">
      <c r="C2800" s="31"/>
      <c r="E2800" s="30"/>
    </row>
    <row r="2801" spans="3:5" x14ac:dyDescent="0.4">
      <c r="C2801" s="31"/>
      <c r="E2801" s="30"/>
    </row>
    <row r="2802" spans="3:5" x14ac:dyDescent="0.4">
      <c r="C2802" s="31"/>
      <c r="E2802" s="30"/>
    </row>
    <row r="2803" spans="3:5" x14ac:dyDescent="0.4">
      <c r="C2803" s="31"/>
      <c r="E2803" s="30"/>
    </row>
    <row r="2804" spans="3:5" x14ac:dyDescent="0.4">
      <c r="C2804" s="31"/>
      <c r="E2804" s="30"/>
    </row>
    <row r="2805" spans="3:5" x14ac:dyDescent="0.4">
      <c r="C2805" s="31"/>
      <c r="E2805" s="30"/>
    </row>
    <row r="2806" spans="3:5" x14ac:dyDescent="0.4">
      <c r="C2806" s="31"/>
      <c r="E2806" s="30"/>
    </row>
    <row r="2807" spans="3:5" x14ac:dyDescent="0.4">
      <c r="C2807" s="31"/>
      <c r="E2807" s="30"/>
    </row>
    <row r="2808" spans="3:5" x14ac:dyDescent="0.4">
      <c r="C2808" s="31"/>
      <c r="E2808" s="30"/>
    </row>
    <row r="2809" spans="3:5" x14ac:dyDescent="0.4">
      <c r="C2809" s="31"/>
      <c r="E2809" s="30"/>
    </row>
    <row r="2810" spans="3:5" x14ac:dyDescent="0.4">
      <c r="C2810" s="31"/>
      <c r="E2810" s="30"/>
    </row>
    <row r="2811" spans="3:5" x14ac:dyDescent="0.4">
      <c r="C2811" s="31"/>
      <c r="E2811" s="30"/>
    </row>
    <row r="2812" spans="3:5" x14ac:dyDescent="0.4">
      <c r="C2812" s="31"/>
      <c r="E2812" s="30"/>
    </row>
    <row r="2813" spans="3:5" x14ac:dyDescent="0.4">
      <c r="C2813" s="31"/>
      <c r="E2813" s="30"/>
    </row>
    <row r="2814" spans="3:5" x14ac:dyDescent="0.4">
      <c r="C2814" s="31"/>
      <c r="E2814" s="30"/>
    </row>
    <row r="2815" spans="3:5" x14ac:dyDescent="0.4">
      <c r="C2815" s="31"/>
      <c r="E2815" s="30"/>
    </row>
    <row r="2816" spans="3:5" x14ac:dyDescent="0.4">
      <c r="C2816" s="31"/>
      <c r="E2816" s="30"/>
    </row>
    <row r="2817" spans="3:5" x14ac:dyDescent="0.4">
      <c r="C2817" s="31"/>
      <c r="E2817" s="30"/>
    </row>
    <row r="2818" spans="3:5" x14ac:dyDescent="0.4">
      <c r="C2818" s="31"/>
      <c r="E2818" s="30"/>
    </row>
    <row r="2819" spans="3:5" x14ac:dyDescent="0.4">
      <c r="C2819" s="31"/>
      <c r="E2819" s="30"/>
    </row>
    <row r="2820" spans="3:5" x14ac:dyDescent="0.4">
      <c r="C2820" s="31"/>
      <c r="E2820" s="30"/>
    </row>
    <row r="2821" spans="3:5" x14ac:dyDescent="0.4">
      <c r="C2821" s="31"/>
      <c r="E2821" s="30"/>
    </row>
    <row r="2822" spans="3:5" x14ac:dyDescent="0.4">
      <c r="C2822" s="31"/>
      <c r="E2822" s="30"/>
    </row>
    <row r="2823" spans="3:5" x14ac:dyDescent="0.4">
      <c r="C2823" s="31"/>
      <c r="E2823" s="30"/>
    </row>
    <row r="2824" spans="3:5" x14ac:dyDescent="0.4">
      <c r="C2824" s="31"/>
      <c r="E2824" s="30"/>
    </row>
    <row r="2825" spans="3:5" x14ac:dyDescent="0.4">
      <c r="C2825" s="31"/>
      <c r="E2825" s="30"/>
    </row>
    <row r="2826" spans="3:5" x14ac:dyDescent="0.4">
      <c r="C2826" s="31"/>
      <c r="E2826" s="30"/>
    </row>
    <row r="2827" spans="3:5" x14ac:dyDescent="0.4">
      <c r="C2827" s="31"/>
      <c r="E2827" s="30"/>
    </row>
    <row r="2828" spans="3:5" x14ac:dyDescent="0.4">
      <c r="C2828" s="31"/>
      <c r="E2828" s="30"/>
    </row>
    <row r="2829" spans="3:5" x14ac:dyDescent="0.4">
      <c r="C2829" s="31"/>
      <c r="E2829" s="30"/>
    </row>
    <row r="2830" spans="3:5" x14ac:dyDescent="0.4">
      <c r="C2830" s="31"/>
      <c r="E2830" s="30"/>
    </row>
    <row r="2831" spans="3:5" x14ac:dyDescent="0.4">
      <c r="C2831" s="31"/>
      <c r="E2831" s="30"/>
    </row>
    <row r="2832" spans="3:5" x14ac:dyDescent="0.4">
      <c r="C2832" s="31"/>
      <c r="E2832" s="30"/>
    </row>
    <row r="2833" spans="3:5" x14ac:dyDescent="0.4">
      <c r="C2833" s="31"/>
      <c r="E2833" s="30"/>
    </row>
    <row r="2834" spans="3:5" x14ac:dyDescent="0.4">
      <c r="C2834" s="31"/>
      <c r="E2834" s="30"/>
    </row>
    <row r="2835" spans="3:5" x14ac:dyDescent="0.4">
      <c r="C2835" s="31"/>
      <c r="E2835" s="30"/>
    </row>
    <row r="2836" spans="3:5" x14ac:dyDescent="0.4">
      <c r="C2836" s="31"/>
      <c r="E2836" s="30"/>
    </row>
    <row r="2837" spans="3:5" x14ac:dyDescent="0.4">
      <c r="C2837" s="31"/>
      <c r="E2837" s="30"/>
    </row>
    <row r="2838" spans="3:5" x14ac:dyDescent="0.4">
      <c r="C2838" s="31"/>
      <c r="E2838" s="30"/>
    </row>
    <row r="2839" spans="3:5" x14ac:dyDescent="0.4">
      <c r="C2839" s="31"/>
      <c r="E2839" s="30"/>
    </row>
    <row r="2840" spans="3:5" x14ac:dyDescent="0.4">
      <c r="C2840" s="31"/>
      <c r="E2840" s="30"/>
    </row>
    <row r="2841" spans="3:5" x14ac:dyDescent="0.4">
      <c r="C2841" s="31"/>
      <c r="E2841" s="30"/>
    </row>
    <row r="2842" spans="3:5" x14ac:dyDescent="0.4">
      <c r="C2842" s="31"/>
      <c r="E2842" s="30"/>
    </row>
    <row r="2843" spans="3:5" x14ac:dyDescent="0.4">
      <c r="C2843" s="31"/>
      <c r="E2843" s="30"/>
    </row>
    <row r="2844" spans="3:5" x14ac:dyDescent="0.4">
      <c r="C2844" s="31"/>
      <c r="E2844" s="30"/>
    </row>
    <row r="2845" spans="3:5" x14ac:dyDescent="0.4">
      <c r="C2845" s="31"/>
      <c r="E2845" s="30"/>
    </row>
    <row r="2846" spans="3:5" x14ac:dyDescent="0.4">
      <c r="C2846" s="31"/>
      <c r="E2846" s="30"/>
    </row>
    <row r="2847" spans="3:5" x14ac:dyDescent="0.4">
      <c r="C2847" s="31"/>
      <c r="E2847" s="30"/>
    </row>
    <row r="2848" spans="3:5" x14ac:dyDescent="0.4">
      <c r="C2848" s="31"/>
      <c r="E2848" s="30"/>
    </row>
    <row r="2849" spans="3:5" x14ac:dyDescent="0.4">
      <c r="C2849" s="31"/>
      <c r="E2849" s="30"/>
    </row>
    <row r="2850" spans="3:5" x14ac:dyDescent="0.4">
      <c r="C2850" s="31"/>
      <c r="E2850" s="30"/>
    </row>
    <row r="2851" spans="3:5" x14ac:dyDescent="0.4">
      <c r="C2851" s="31"/>
      <c r="E2851" s="30"/>
    </row>
    <row r="2852" spans="3:5" x14ac:dyDescent="0.4">
      <c r="C2852" s="31"/>
      <c r="E2852" s="30"/>
    </row>
    <row r="2853" spans="3:5" x14ac:dyDescent="0.4">
      <c r="C2853" s="31"/>
      <c r="E2853" s="30"/>
    </row>
    <row r="2854" spans="3:5" x14ac:dyDescent="0.4">
      <c r="C2854" s="31"/>
      <c r="E2854" s="30"/>
    </row>
    <row r="2855" spans="3:5" x14ac:dyDescent="0.4">
      <c r="C2855" s="31"/>
      <c r="E2855" s="30"/>
    </row>
    <row r="2856" spans="3:5" x14ac:dyDescent="0.4">
      <c r="C2856" s="31"/>
      <c r="E2856" s="30"/>
    </row>
    <row r="2857" spans="3:5" x14ac:dyDescent="0.4">
      <c r="C2857" s="31"/>
      <c r="E2857" s="30"/>
    </row>
    <row r="2858" spans="3:5" x14ac:dyDescent="0.4">
      <c r="C2858" s="31"/>
      <c r="E2858" s="30"/>
    </row>
    <row r="2859" spans="3:5" x14ac:dyDescent="0.4">
      <c r="C2859" s="31"/>
      <c r="E2859" s="30"/>
    </row>
    <row r="2860" spans="3:5" x14ac:dyDescent="0.4">
      <c r="C2860" s="31"/>
      <c r="E2860" s="30"/>
    </row>
    <row r="2861" spans="3:5" x14ac:dyDescent="0.4">
      <c r="C2861" s="31"/>
      <c r="E2861" s="30"/>
    </row>
    <row r="2862" spans="3:5" x14ac:dyDescent="0.4">
      <c r="C2862" s="31"/>
      <c r="E2862" s="30"/>
    </row>
    <row r="2863" spans="3:5" x14ac:dyDescent="0.4">
      <c r="C2863" s="31"/>
      <c r="E2863" s="30"/>
    </row>
    <row r="2864" spans="3:5" x14ac:dyDescent="0.4">
      <c r="C2864" s="31"/>
      <c r="E2864" s="30"/>
    </row>
    <row r="2865" spans="3:5" x14ac:dyDescent="0.4">
      <c r="C2865" s="31"/>
      <c r="E2865" s="30"/>
    </row>
    <row r="2866" spans="3:5" x14ac:dyDescent="0.4">
      <c r="C2866" s="31"/>
      <c r="E2866" s="30"/>
    </row>
    <row r="2867" spans="3:5" x14ac:dyDescent="0.4">
      <c r="C2867" s="31"/>
      <c r="E2867" s="30"/>
    </row>
    <row r="2868" spans="3:5" x14ac:dyDescent="0.4">
      <c r="C2868" s="31"/>
      <c r="E2868" s="30"/>
    </row>
    <row r="2869" spans="3:5" x14ac:dyDescent="0.4">
      <c r="C2869" s="31"/>
      <c r="E2869" s="30"/>
    </row>
    <row r="2870" spans="3:5" x14ac:dyDescent="0.4">
      <c r="C2870" s="31"/>
      <c r="E2870" s="30"/>
    </row>
    <row r="2871" spans="3:5" x14ac:dyDescent="0.4">
      <c r="C2871" s="31"/>
      <c r="E2871" s="30"/>
    </row>
    <row r="2872" spans="3:5" x14ac:dyDescent="0.4">
      <c r="C2872" s="31"/>
      <c r="E2872" s="30"/>
    </row>
    <row r="2873" spans="3:5" x14ac:dyDescent="0.4">
      <c r="C2873" s="31"/>
      <c r="E2873" s="30"/>
    </row>
    <row r="2874" spans="3:5" x14ac:dyDescent="0.4">
      <c r="C2874" s="31"/>
      <c r="E2874" s="30"/>
    </row>
    <row r="2875" spans="3:5" x14ac:dyDescent="0.4">
      <c r="C2875" s="31"/>
      <c r="E2875" s="30"/>
    </row>
    <row r="2876" spans="3:5" x14ac:dyDescent="0.4">
      <c r="C2876" s="31"/>
      <c r="E2876" s="30"/>
    </row>
    <row r="2877" spans="3:5" x14ac:dyDescent="0.4">
      <c r="C2877" s="31"/>
      <c r="E2877" s="30"/>
    </row>
    <row r="2878" spans="3:5" x14ac:dyDescent="0.4">
      <c r="C2878" s="31"/>
      <c r="E2878" s="30"/>
    </row>
    <row r="2879" spans="3:5" x14ac:dyDescent="0.4">
      <c r="C2879" s="31"/>
      <c r="E2879" s="30"/>
    </row>
    <row r="2880" spans="3:5" x14ac:dyDescent="0.4">
      <c r="C2880" s="31"/>
      <c r="E2880" s="30"/>
    </row>
    <row r="2881" spans="3:5" x14ac:dyDescent="0.4">
      <c r="C2881" s="31"/>
      <c r="E2881" s="30"/>
    </row>
    <row r="2882" spans="3:5" x14ac:dyDescent="0.4">
      <c r="C2882" s="31"/>
      <c r="E2882" s="30"/>
    </row>
    <row r="2883" spans="3:5" x14ac:dyDescent="0.4">
      <c r="C2883" s="31"/>
      <c r="E2883" s="30"/>
    </row>
    <row r="2884" spans="3:5" x14ac:dyDescent="0.4">
      <c r="C2884" s="31"/>
      <c r="E2884" s="30"/>
    </row>
    <row r="2885" spans="3:5" x14ac:dyDescent="0.4">
      <c r="C2885" s="31"/>
      <c r="E2885" s="30"/>
    </row>
    <row r="2886" spans="3:5" x14ac:dyDescent="0.4">
      <c r="C2886" s="31"/>
      <c r="E2886" s="30"/>
    </row>
    <row r="2887" spans="3:5" x14ac:dyDescent="0.4">
      <c r="C2887" s="31"/>
      <c r="E2887" s="30"/>
    </row>
    <row r="2888" spans="3:5" x14ac:dyDescent="0.4">
      <c r="C2888" s="31"/>
      <c r="E2888" s="30"/>
    </row>
    <row r="2889" spans="3:5" x14ac:dyDescent="0.4">
      <c r="C2889" s="31"/>
      <c r="E2889" s="30"/>
    </row>
    <row r="2890" spans="3:5" x14ac:dyDescent="0.4">
      <c r="C2890" s="31"/>
      <c r="E2890" s="30"/>
    </row>
    <row r="2891" spans="3:5" x14ac:dyDescent="0.4">
      <c r="C2891" s="31"/>
      <c r="E2891" s="30"/>
    </row>
    <row r="2892" spans="3:5" x14ac:dyDescent="0.4">
      <c r="C2892" s="31"/>
      <c r="E2892" s="30"/>
    </row>
    <row r="2893" spans="3:5" x14ac:dyDescent="0.4">
      <c r="C2893" s="31"/>
      <c r="E2893" s="30"/>
    </row>
    <row r="2894" spans="3:5" x14ac:dyDescent="0.4">
      <c r="C2894" s="31"/>
      <c r="E2894" s="30"/>
    </row>
    <row r="2895" spans="3:5" x14ac:dyDescent="0.4">
      <c r="C2895" s="31"/>
      <c r="E2895" s="30"/>
    </row>
    <row r="2896" spans="3:5" x14ac:dyDescent="0.4">
      <c r="C2896" s="31"/>
      <c r="E2896" s="30"/>
    </row>
    <row r="2897" spans="3:5" x14ac:dyDescent="0.4">
      <c r="C2897" s="31"/>
      <c r="E2897" s="30"/>
    </row>
    <row r="2898" spans="3:5" x14ac:dyDescent="0.4">
      <c r="C2898" s="31"/>
      <c r="E2898" s="30"/>
    </row>
    <row r="2899" spans="3:5" x14ac:dyDescent="0.4">
      <c r="C2899" s="31"/>
      <c r="E2899" s="30"/>
    </row>
    <row r="2900" spans="3:5" x14ac:dyDescent="0.4">
      <c r="C2900" s="31"/>
      <c r="E2900" s="30"/>
    </row>
    <row r="2901" spans="3:5" x14ac:dyDescent="0.4">
      <c r="C2901" s="31"/>
      <c r="E2901" s="30"/>
    </row>
    <row r="2902" spans="3:5" x14ac:dyDescent="0.4">
      <c r="C2902" s="31"/>
      <c r="E2902" s="30"/>
    </row>
    <row r="2903" spans="3:5" x14ac:dyDescent="0.4">
      <c r="C2903" s="31"/>
      <c r="E2903" s="30"/>
    </row>
    <row r="2904" spans="3:5" x14ac:dyDescent="0.4">
      <c r="C2904" s="31"/>
      <c r="E2904" s="30"/>
    </row>
    <row r="2905" spans="3:5" x14ac:dyDescent="0.4">
      <c r="C2905" s="31"/>
      <c r="E2905" s="30"/>
    </row>
    <row r="2906" spans="3:5" x14ac:dyDescent="0.4">
      <c r="C2906" s="31"/>
      <c r="E2906" s="30"/>
    </row>
    <row r="2907" spans="3:5" x14ac:dyDescent="0.4">
      <c r="C2907" s="31"/>
      <c r="E2907" s="30"/>
    </row>
    <row r="2908" spans="3:5" x14ac:dyDescent="0.4">
      <c r="C2908" s="31"/>
      <c r="E2908" s="30"/>
    </row>
    <row r="2909" spans="3:5" x14ac:dyDescent="0.4">
      <c r="C2909" s="31"/>
      <c r="E2909" s="30"/>
    </row>
    <row r="2910" spans="3:5" x14ac:dyDescent="0.4">
      <c r="C2910" s="31"/>
      <c r="E2910" s="30"/>
    </row>
    <row r="2911" spans="3:5" x14ac:dyDescent="0.4">
      <c r="C2911" s="31"/>
      <c r="E2911" s="30"/>
    </row>
    <row r="2912" spans="3:5" x14ac:dyDescent="0.4">
      <c r="C2912" s="31"/>
      <c r="E2912" s="30"/>
    </row>
    <row r="2913" spans="3:5" x14ac:dyDescent="0.4">
      <c r="C2913" s="31"/>
      <c r="E2913" s="30"/>
    </row>
    <row r="2914" spans="3:5" x14ac:dyDescent="0.4">
      <c r="C2914" s="31"/>
      <c r="E2914" s="30"/>
    </row>
    <row r="2915" spans="3:5" x14ac:dyDescent="0.4">
      <c r="C2915" s="31"/>
      <c r="E2915" s="30"/>
    </row>
    <row r="2916" spans="3:5" x14ac:dyDescent="0.4">
      <c r="C2916" s="31"/>
      <c r="E2916" s="30"/>
    </row>
    <row r="2917" spans="3:5" x14ac:dyDescent="0.4">
      <c r="C2917" s="31"/>
      <c r="E2917" s="30"/>
    </row>
    <row r="2918" spans="3:5" x14ac:dyDescent="0.4">
      <c r="C2918" s="31"/>
      <c r="E2918" s="30"/>
    </row>
    <row r="2919" spans="3:5" x14ac:dyDescent="0.4">
      <c r="C2919" s="31"/>
      <c r="E2919" s="30"/>
    </row>
    <row r="2920" spans="3:5" x14ac:dyDescent="0.4">
      <c r="C2920" s="31"/>
      <c r="E2920" s="30"/>
    </row>
    <row r="2921" spans="3:5" x14ac:dyDescent="0.4">
      <c r="C2921" s="31"/>
      <c r="E2921" s="30"/>
    </row>
    <row r="2922" spans="3:5" x14ac:dyDescent="0.4">
      <c r="C2922" s="31"/>
      <c r="E2922" s="30"/>
    </row>
    <row r="2923" spans="3:5" x14ac:dyDescent="0.4">
      <c r="C2923" s="31"/>
      <c r="E2923" s="30"/>
    </row>
    <row r="2924" spans="3:5" x14ac:dyDescent="0.4">
      <c r="C2924" s="31"/>
      <c r="E2924" s="30"/>
    </row>
    <row r="2925" spans="3:5" x14ac:dyDescent="0.4">
      <c r="C2925" s="31"/>
      <c r="E2925" s="30"/>
    </row>
    <row r="2926" spans="3:5" x14ac:dyDescent="0.4">
      <c r="C2926" s="31"/>
      <c r="E2926" s="30"/>
    </row>
    <row r="2927" spans="3:5" x14ac:dyDescent="0.4">
      <c r="C2927" s="31"/>
      <c r="E2927" s="30"/>
    </row>
    <row r="2928" spans="3:5" x14ac:dyDescent="0.4">
      <c r="C2928" s="31"/>
      <c r="E2928" s="30"/>
    </row>
    <row r="2929" spans="3:5" x14ac:dyDescent="0.4">
      <c r="C2929" s="31"/>
      <c r="E2929" s="30"/>
    </row>
    <row r="2930" spans="3:5" x14ac:dyDescent="0.4">
      <c r="C2930" s="31"/>
      <c r="E2930" s="30"/>
    </row>
    <row r="2931" spans="3:5" x14ac:dyDescent="0.4">
      <c r="C2931" s="31"/>
      <c r="E2931" s="30"/>
    </row>
    <row r="2932" spans="3:5" x14ac:dyDescent="0.4">
      <c r="C2932" s="31"/>
      <c r="E2932" s="30"/>
    </row>
    <row r="2933" spans="3:5" x14ac:dyDescent="0.4">
      <c r="C2933" s="31"/>
      <c r="E2933" s="30"/>
    </row>
    <row r="2934" spans="3:5" x14ac:dyDescent="0.4">
      <c r="C2934" s="31"/>
      <c r="E2934" s="30"/>
    </row>
    <row r="2935" spans="3:5" x14ac:dyDescent="0.4">
      <c r="C2935" s="31"/>
      <c r="E2935" s="30"/>
    </row>
    <row r="2936" spans="3:5" x14ac:dyDescent="0.4">
      <c r="C2936" s="31"/>
      <c r="E2936" s="30"/>
    </row>
    <row r="2937" spans="3:5" x14ac:dyDescent="0.4">
      <c r="C2937" s="31"/>
      <c r="E2937" s="30"/>
    </row>
    <row r="2938" spans="3:5" x14ac:dyDescent="0.4">
      <c r="C2938" s="31"/>
      <c r="E2938" s="30"/>
    </row>
    <row r="2939" spans="3:5" x14ac:dyDescent="0.4">
      <c r="C2939" s="31"/>
      <c r="E2939" s="30"/>
    </row>
    <row r="2940" spans="3:5" x14ac:dyDescent="0.4">
      <c r="C2940" s="31"/>
      <c r="E2940" s="30"/>
    </row>
    <row r="2941" spans="3:5" x14ac:dyDescent="0.4">
      <c r="C2941" s="31"/>
      <c r="E2941" s="30"/>
    </row>
    <row r="2942" spans="3:5" x14ac:dyDescent="0.4">
      <c r="C2942" s="31"/>
      <c r="E2942" s="30"/>
    </row>
    <row r="2943" spans="3:5" x14ac:dyDescent="0.4">
      <c r="C2943" s="31"/>
      <c r="E2943" s="30"/>
    </row>
    <row r="2944" spans="3:5" x14ac:dyDescent="0.4">
      <c r="C2944" s="31"/>
      <c r="E2944" s="30"/>
    </row>
    <row r="2945" spans="3:5" x14ac:dyDescent="0.4">
      <c r="C2945" s="31"/>
      <c r="E2945" s="30"/>
    </row>
    <row r="2946" spans="3:5" x14ac:dyDescent="0.4">
      <c r="C2946" s="31"/>
      <c r="E2946" s="30"/>
    </row>
    <row r="2947" spans="3:5" x14ac:dyDescent="0.4">
      <c r="C2947" s="31"/>
      <c r="E2947" s="30"/>
    </row>
    <row r="2948" spans="3:5" x14ac:dyDescent="0.4">
      <c r="C2948" s="31"/>
      <c r="E2948" s="30"/>
    </row>
    <row r="2949" spans="3:5" x14ac:dyDescent="0.4">
      <c r="C2949" s="31"/>
      <c r="E2949" s="30"/>
    </row>
    <row r="2950" spans="3:5" x14ac:dyDescent="0.4">
      <c r="C2950" s="31"/>
      <c r="E2950" s="30"/>
    </row>
    <row r="2951" spans="3:5" x14ac:dyDescent="0.4">
      <c r="C2951" s="31"/>
      <c r="E2951" s="30"/>
    </row>
    <row r="2952" spans="3:5" x14ac:dyDescent="0.4">
      <c r="C2952" s="31"/>
      <c r="E2952" s="30"/>
    </row>
    <row r="2953" spans="3:5" x14ac:dyDescent="0.4">
      <c r="C2953" s="31"/>
      <c r="E2953" s="30"/>
    </row>
    <row r="2954" spans="3:5" x14ac:dyDescent="0.4">
      <c r="C2954" s="31"/>
      <c r="E2954" s="30"/>
    </row>
    <row r="2955" spans="3:5" x14ac:dyDescent="0.4">
      <c r="C2955" s="31"/>
      <c r="E2955" s="30"/>
    </row>
    <row r="2956" spans="3:5" x14ac:dyDescent="0.4">
      <c r="C2956" s="31"/>
      <c r="E2956" s="30"/>
    </row>
    <row r="2957" spans="3:5" x14ac:dyDescent="0.4">
      <c r="C2957" s="31"/>
      <c r="E2957" s="30"/>
    </row>
    <row r="2958" spans="3:5" x14ac:dyDescent="0.4">
      <c r="C2958" s="31"/>
      <c r="E2958" s="30"/>
    </row>
    <row r="2959" spans="3:5" x14ac:dyDescent="0.4">
      <c r="C2959" s="31"/>
      <c r="E2959" s="30"/>
    </row>
    <row r="2960" spans="3:5" x14ac:dyDescent="0.4">
      <c r="C2960" s="31"/>
      <c r="E2960" s="30"/>
    </row>
    <row r="2961" spans="3:5" x14ac:dyDescent="0.4">
      <c r="C2961" s="31"/>
      <c r="E2961" s="30"/>
    </row>
    <row r="2962" spans="3:5" x14ac:dyDescent="0.4">
      <c r="C2962" s="31"/>
      <c r="E2962" s="30"/>
    </row>
    <row r="2963" spans="3:5" x14ac:dyDescent="0.4">
      <c r="C2963" s="31"/>
      <c r="E2963" s="30"/>
    </row>
    <row r="2964" spans="3:5" x14ac:dyDescent="0.4">
      <c r="C2964" s="31"/>
      <c r="E2964" s="30"/>
    </row>
    <row r="2965" spans="3:5" x14ac:dyDescent="0.4">
      <c r="C2965" s="31"/>
      <c r="E2965" s="30"/>
    </row>
    <row r="2966" spans="3:5" x14ac:dyDescent="0.4">
      <c r="C2966" s="31"/>
      <c r="E2966" s="30"/>
    </row>
    <row r="2967" spans="3:5" x14ac:dyDescent="0.4">
      <c r="C2967" s="31"/>
      <c r="E2967" s="30"/>
    </row>
    <row r="2968" spans="3:5" x14ac:dyDescent="0.4">
      <c r="C2968" s="31"/>
      <c r="E2968" s="30"/>
    </row>
    <row r="2969" spans="3:5" x14ac:dyDescent="0.4">
      <c r="C2969" s="31"/>
      <c r="E2969" s="30"/>
    </row>
    <row r="2970" spans="3:5" x14ac:dyDescent="0.4">
      <c r="C2970" s="31"/>
      <c r="E2970" s="30"/>
    </row>
    <row r="2971" spans="3:5" x14ac:dyDescent="0.4">
      <c r="C2971" s="31"/>
      <c r="E2971" s="30"/>
    </row>
    <row r="2972" spans="3:5" x14ac:dyDescent="0.4">
      <c r="C2972" s="31"/>
      <c r="E2972" s="30"/>
    </row>
    <row r="2973" spans="3:5" x14ac:dyDescent="0.4">
      <c r="C2973" s="31"/>
      <c r="E2973" s="30"/>
    </row>
    <row r="2974" spans="3:5" x14ac:dyDescent="0.4">
      <c r="C2974" s="31"/>
      <c r="E2974" s="30"/>
    </row>
    <row r="2975" spans="3:5" x14ac:dyDescent="0.4">
      <c r="C2975" s="31"/>
      <c r="E2975" s="30"/>
    </row>
    <row r="2976" spans="3:5" x14ac:dyDescent="0.4">
      <c r="C2976" s="31"/>
      <c r="E2976" s="30"/>
    </row>
    <row r="2977" spans="3:5" x14ac:dyDescent="0.4">
      <c r="C2977" s="31"/>
      <c r="E2977" s="30"/>
    </row>
    <row r="2978" spans="3:5" x14ac:dyDescent="0.4">
      <c r="C2978" s="31"/>
      <c r="E2978" s="30"/>
    </row>
    <row r="2979" spans="3:5" x14ac:dyDescent="0.4">
      <c r="C2979" s="31"/>
      <c r="E2979" s="30"/>
    </row>
    <row r="2980" spans="3:5" x14ac:dyDescent="0.4">
      <c r="C2980" s="31"/>
      <c r="E2980" s="30"/>
    </row>
    <row r="2981" spans="3:5" x14ac:dyDescent="0.4">
      <c r="C2981" s="31"/>
      <c r="E2981" s="30"/>
    </row>
    <row r="2982" spans="3:5" x14ac:dyDescent="0.4">
      <c r="C2982" s="31"/>
      <c r="E2982" s="30"/>
    </row>
    <row r="2983" spans="3:5" x14ac:dyDescent="0.4">
      <c r="C2983" s="31"/>
      <c r="E2983" s="30"/>
    </row>
    <row r="2984" spans="3:5" x14ac:dyDescent="0.4">
      <c r="C2984" s="31"/>
      <c r="E2984" s="30"/>
    </row>
    <row r="2985" spans="3:5" x14ac:dyDescent="0.4">
      <c r="C2985" s="31"/>
      <c r="E2985" s="30"/>
    </row>
    <row r="2986" spans="3:5" x14ac:dyDescent="0.4">
      <c r="C2986" s="31"/>
      <c r="E2986" s="30"/>
    </row>
    <row r="2987" spans="3:5" x14ac:dyDescent="0.4">
      <c r="C2987" s="31"/>
      <c r="E2987" s="30"/>
    </row>
    <row r="2988" spans="3:5" x14ac:dyDescent="0.4">
      <c r="C2988" s="31"/>
      <c r="E2988" s="30"/>
    </row>
    <row r="2989" spans="3:5" x14ac:dyDescent="0.4">
      <c r="C2989" s="31"/>
      <c r="E2989" s="30"/>
    </row>
    <row r="2990" spans="3:5" x14ac:dyDescent="0.4">
      <c r="C2990" s="31"/>
      <c r="E2990" s="30"/>
    </row>
    <row r="2991" spans="3:5" x14ac:dyDescent="0.4">
      <c r="C2991" s="31"/>
      <c r="E2991" s="30"/>
    </row>
    <row r="2992" spans="3:5" x14ac:dyDescent="0.4">
      <c r="C2992" s="31"/>
      <c r="E2992" s="30"/>
    </row>
    <row r="2993" spans="3:5" x14ac:dyDescent="0.4">
      <c r="C2993" s="31"/>
      <c r="E2993" s="30"/>
    </row>
    <row r="2994" spans="3:5" x14ac:dyDescent="0.4">
      <c r="C2994" s="31"/>
      <c r="E2994" s="30"/>
    </row>
    <row r="2995" spans="3:5" x14ac:dyDescent="0.4">
      <c r="C2995" s="31"/>
      <c r="E2995" s="30"/>
    </row>
    <row r="2996" spans="3:5" x14ac:dyDescent="0.4">
      <c r="C2996" s="31"/>
      <c r="E2996" s="30"/>
    </row>
    <row r="2997" spans="3:5" x14ac:dyDescent="0.4">
      <c r="C2997" s="31"/>
      <c r="E2997" s="30"/>
    </row>
    <row r="2998" spans="3:5" x14ac:dyDescent="0.4">
      <c r="C2998" s="31"/>
      <c r="E2998" s="30"/>
    </row>
    <row r="2999" spans="3:5" x14ac:dyDescent="0.4">
      <c r="C2999" s="31"/>
      <c r="E2999" s="30"/>
    </row>
    <row r="3000" spans="3:5" x14ac:dyDescent="0.4">
      <c r="C3000" s="31"/>
      <c r="E3000" s="30"/>
    </row>
    <row r="3001" spans="3:5" x14ac:dyDescent="0.4">
      <c r="C3001" s="31"/>
      <c r="E3001" s="30"/>
    </row>
    <row r="3002" spans="3:5" x14ac:dyDescent="0.4">
      <c r="C3002" s="31"/>
      <c r="E3002" s="30"/>
    </row>
    <row r="3003" spans="3:5" x14ac:dyDescent="0.4">
      <c r="C3003" s="31"/>
      <c r="E3003" s="30"/>
    </row>
    <row r="3004" spans="3:5" x14ac:dyDescent="0.4">
      <c r="C3004" s="31"/>
      <c r="E3004" s="30"/>
    </row>
    <row r="3005" spans="3:5" x14ac:dyDescent="0.4">
      <c r="C3005" s="31"/>
      <c r="E3005" s="30"/>
    </row>
    <row r="3006" spans="3:5" x14ac:dyDescent="0.4">
      <c r="C3006" s="31"/>
      <c r="E3006" s="30"/>
    </row>
    <row r="3007" spans="3:5" x14ac:dyDescent="0.4">
      <c r="C3007" s="31"/>
      <c r="E3007" s="30"/>
    </row>
    <row r="3008" spans="3:5" x14ac:dyDescent="0.4">
      <c r="C3008" s="31"/>
      <c r="E3008" s="30"/>
    </row>
    <row r="3009" spans="3:5" x14ac:dyDescent="0.4">
      <c r="C3009" s="31"/>
      <c r="E3009" s="30"/>
    </row>
    <row r="3010" spans="3:5" x14ac:dyDescent="0.4">
      <c r="C3010" s="31"/>
      <c r="E3010" s="30"/>
    </row>
    <row r="3011" spans="3:5" x14ac:dyDescent="0.4">
      <c r="C3011" s="31"/>
      <c r="E3011" s="30"/>
    </row>
    <row r="3012" spans="3:5" x14ac:dyDescent="0.4">
      <c r="C3012" s="31"/>
      <c r="E3012" s="30"/>
    </row>
    <row r="3013" spans="3:5" x14ac:dyDescent="0.4">
      <c r="C3013" s="31"/>
      <c r="E3013" s="30"/>
    </row>
    <row r="3014" spans="3:5" x14ac:dyDescent="0.4">
      <c r="C3014" s="31"/>
      <c r="E3014" s="30"/>
    </row>
    <row r="3015" spans="3:5" x14ac:dyDescent="0.4">
      <c r="C3015" s="31"/>
      <c r="E3015" s="30"/>
    </row>
    <row r="3016" spans="3:5" x14ac:dyDescent="0.4">
      <c r="C3016" s="31"/>
      <c r="E3016" s="30"/>
    </row>
    <row r="3017" spans="3:5" x14ac:dyDescent="0.4">
      <c r="C3017" s="31"/>
      <c r="E3017" s="30"/>
    </row>
    <row r="3018" spans="3:5" x14ac:dyDescent="0.4">
      <c r="C3018" s="31"/>
      <c r="E3018" s="30"/>
    </row>
    <row r="3019" spans="3:5" x14ac:dyDescent="0.4">
      <c r="C3019" s="31"/>
      <c r="E3019" s="30"/>
    </row>
    <row r="3020" spans="3:5" x14ac:dyDescent="0.4">
      <c r="C3020" s="31"/>
      <c r="E3020" s="30"/>
    </row>
    <row r="3021" spans="3:5" x14ac:dyDescent="0.4">
      <c r="C3021" s="31"/>
      <c r="E3021" s="30"/>
    </row>
    <row r="3022" spans="3:5" x14ac:dyDescent="0.4">
      <c r="C3022" s="31"/>
      <c r="E3022" s="30"/>
    </row>
    <row r="3023" spans="3:5" x14ac:dyDescent="0.4">
      <c r="C3023" s="31"/>
      <c r="E3023" s="30"/>
    </row>
    <row r="3024" spans="3:5" x14ac:dyDescent="0.4">
      <c r="C3024" s="31"/>
      <c r="E3024" s="30"/>
    </row>
    <row r="3025" spans="3:5" x14ac:dyDescent="0.4">
      <c r="C3025" s="31"/>
      <c r="E3025" s="30"/>
    </row>
    <row r="3026" spans="3:5" x14ac:dyDescent="0.4">
      <c r="C3026" s="31"/>
      <c r="E3026" s="30"/>
    </row>
    <row r="3027" spans="3:5" x14ac:dyDescent="0.4">
      <c r="C3027" s="31"/>
      <c r="E3027" s="30"/>
    </row>
    <row r="3028" spans="3:5" x14ac:dyDescent="0.4">
      <c r="C3028" s="31"/>
      <c r="E3028" s="30"/>
    </row>
    <row r="3029" spans="3:5" x14ac:dyDescent="0.4">
      <c r="C3029" s="31"/>
      <c r="E3029" s="30"/>
    </row>
    <row r="3030" spans="3:5" x14ac:dyDescent="0.4">
      <c r="C3030" s="31"/>
      <c r="E3030" s="30"/>
    </row>
    <row r="3031" spans="3:5" x14ac:dyDescent="0.4">
      <c r="C3031" s="31"/>
      <c r="E3031" s="30"/>
    </row>
    <row r="3032" spans="3:5" x14ac:dyDescent="0.4">
      <c r="C3032" s="31"/>
      <c r="E3032" s="30"/>
    </row>
    <row r="3033" spans="3:5" x14ac:dyDescent="0.4">
      <c r="C3033" s="31"/>
      <c r="E3033" s="30"/>
    </row>
    <row r="3034" spans="3:5" x14ac:dyDescent="0.4">
      <c r="C3034" s="31"/>
      <c r="E3034" s="30"/>
    </row>
    <row r="3035" spans="3:5" x14ac:dyDescent="0.4">
      <c r="C3035" s="31"/>
      <c r="E3035" s="30"/>
    </row>
    <row r="3036" spans="3:5" x14ac:dyDescent="0.4">
      <c r="C3036" s="31"/>
      <c r="E3036" s="30"/>
    </row>
    <row r="3037" spans="3:5" x14ac:dyDescent="0.4">
      <c r="C3037" s="31"/>
      <c r="E3037" s="30"/>
    </row>
    <row r="3038" spans="3:5" x14ac:dyDescent="0.4">
      <c r="C3038" s="31"/>
      <c r="E3038" s="30"/>
    </row>
    <row r="3039" spans="3:5" x14ac:dyDescent="0.4">
      <c r="C3039" s="31"/>
      <c r="E3039" s="30"/>
    </row>
    <row r="3040" spans="3:5" x14ac:dyDescent="0.4">
      <c r="C3040" s="31"/>
      <c r="E3040" s="30"/>
    </row>
    <row r="3041" spans="3:5" x14ac:dyDescent="0.4">
      <c r="C3041" s="31"/>
      <c r="E3041" s="30"/>
    </row>
    <row r="3042" spans="3:5" x14ac:dyDescent="0.4">
      <c r="C3042" s="31"/>
      <c r="E3042" s="30"/>
    </row>
    <row r="3043" spans="3:5" x14ac:dyDescent="0.4">
      <c r="C3043" s="31"/>
      <c r="E3043" s="30"/>
    </row>
    <row r="3044" spans="3:5" x14ac:dyDescent="0.4">
      <c r="C3044" s="31"/>
      <c r="E3044" s="30"/>
    </row>
    <row r="3045" spans="3:5" x14ac:dyDescent="0.4">
      <c r="C3045" s="31"/>
      <c r="E3045" s="30"/>
    </row>
    <row r="3046" spans="3:5" x14ac:dyDescent="0.4">
      <c r="C3046" s="31"/>
      <c r="E3046" s="30"/>
    </row>
    <row r="3047" spans="3:5" x14ac:dyDescent="0.4">
      <c r="C3047" s="31"/>
      <c r="E3047" s="30"/>
    </row>
    <row r="3048" spans="3:5" x14ac:dyDescent="0.4">
      <c r="C3048" s="31"/>
      <c r="E3048" s="30"/>
    </row>
    <row r="3049" spans="3:5" x14ac:dyDescent="0.4">
      <c r="C3049" s="31"/>
      <c r="E3049" s="30"/>
    </row>
    <row r="3050" spans="3:5" x14ac:dyDescent="0.4">
      <c r="C3050" s="31"/>
      <c r="E3050" s="30"/>
    </row>
    <row r="3051" spans="3:5" x14ac:dyDescent="0.4">
      <c r="C3051" s="31"/>
      <c r="E3051" s="30"/>
    </row>
    <row r="3052" spans="3:5" x14ac:dyDescent="0.4">
      <c r="C3052" s="31"/>
      <c r="E3052" s="30"/>
    </row>
    <row r="3053" spans="3:5" x14ac:dyDescent="0.4">
      <c r="C3053" s="31"/>
      <c r="E3053" s="30"/>
    </row>
    <row r="3054" spans="3:5" x14ac:dyDescent="0.4">
      <c r="C3054" s="31"/>
      <c r="E3054" s="30"/>
    </row>
    <row r="3055" spans="3:5" x14ac:dyDescent="0.4">
      <c r="C3055" s="31"/>
      <c r="E3055" s="30"/>
    </row>
    <row r="3056" spans="3:5" x14ac:dyDescent="0.4">
      <c r="C3056" s="31"/>
      <c r="E3056" s="30"/>
    </row>
    <row r="3057" spans="3:5" x14ac:dyDescent="0.4">
      <c r="C3057" s="31"/>
      <c r="E3057" s="30"/>
    </row>
    <row r="3058" spans="3:5" x14ac:dyDescent="0.4">
      <c r="C3058" s="31"/>
      <c r="E3058" s="30"/>
    </row>
    <row r="3059" spans="3:5" x14ac:dyDescent="0.4">
      <c r="C3059" s="31"/>
      <c r="E3059" s="30"/>
    </row>
    <row r="3060" spans="3:5" x14ac:dyDescent="0.4">
      <c r="C3060" s="31"/>
      <c r="E3060" s="30"/>
    </row>
    <row r="3061" spans="3:5" x14ac:dyDescent="0.4">
      <c r="C3061" s="31"/>
      <c r="E3061" s="30"/>
    </row>
    <row r="3062" spans="3:5" x14ac:dyDescent="0.4">
      <c r="C3062" s="31"/>
      <c r="E3062" s="30"/>
    </row>
    <row r="3063" spans="3:5" x14ac:dyDescent="0.4">
      <c r="C3063" s="31"/>
      <c r="E3063" s="30"/>
    </row>
    <row r="3064" spans="3:5" x14ac:dyDescent="0.4">
      <c r="C3064" s="31"/>
      <c r="E3064" s="30"/>
    </row>
    <row r="3065" spans="3:5" x14ac:dyDescent="0.4">
      <c r="C3065" s="31"/>
      <c r="E3065" s="30"/>
    </row>
    <row r="3066" spans="3:5" x14ac:dyDescent="0.4">
      <c r="C3066" s="31"/>
      <c r="E3066" s="30"/>
    </row>
    <row r="3067" spans="3:5" x14ac:dyDescent="0.4">
      <c r="C3067" s="31"/>
      <c r="E3067" s="30"/>
    </row>
    <row r="3068" spans="3:5" x14ac:dyDescent="0.4">
      <c r="C3068" s="31"/>
      <c r="E3068" s="30"/>
    </row>
    <row r="3069" spans="3:5" x14ac:dyDescent="0.4">
      <c r="C3069" s="31"/>
      <c r="E3069" s="30"/>
    </row>
    <row r="3070" spans="3:5" x14ac:dyDescent="0.4">
      <c r="C3070" s="31"/>
      <c r="E3070" s="30"/>
    </row>
    <row r="3071" spans="3:5" x14ac:dyDescent="0.4">
      <c r="C3071" s="31"/>
      <c r="E3071" s="30"/>
    </row>
    <row r="3072" spans="3:5" x14ac:dyDescent="0.4">
      <c r="C3072" s="31"/>
      <c r="E3072" s="30"/>
    </row>
    <row r="3073" spans="3:5" x14ac:dyDescent="0.4">
      <c r="C3073" s="31"/>
      <c r="E3073" s="30"/>
    </row>
    <row r="3074" spans="3:5" x14ac:dyDescent="0.4">
      <c r="C3074" s="31"/>
      <c r="E3074" s="30"/>
    </row>
    <row r="3075" spans="3:5" x14ac:dyDescent="0.4">
      <c r="C3075" s="31"/>
      <c r="E3075" s="30"/>
    </row>
    <row r="3076" spans="3:5" x14ac:dyDescent="0.4">
      <c r="C3076" s="31"/>
      <c r="E3076" s="30"/>
    </row>
    <row r="3077" spans="3:5" x14ac:dyDescent="0.4">
      <c r="C3077" s="31"/>
      <c r="E3077" s="30"/>
    </row>
    <row r="3078" spans="3:5" x14ac:dyDescent="0.4">
      <c r="C3078" s="31"/>
      <c r="E3078" s="30"/>
    </row>
    <row r="3079" spans="3:5" x14ac:dyDescent="0.4">
      <c r="C3079" s="31"/>
      <c r="E3079" s="30"/>
    </row>
    <row r="3080" spans="3:5" x14ac:dyDescent="0.4">
      <c r="C3080" s="31"/>
      <c r="E3080" s="30"/>
    </row>
    <row r="3081" spans="3:5" x14ac:dyDescent="0.4">
      <c r="C3081" s="31"/>
      <c r="E3081" s="30"/>
    </row>
    <row r="3082" spans="3:5" x14ac:dyDescent="0.4">
      <c r="C3082" s="31"/>
      <c r="E3082" s="30"/>
    </row>
    <row r="3083" spans="3:5" x14ac:dyDescent="0.4">
      <c r="C3083" s="31"/>
      <c r="E3083" s="30"/>
    </row>
    <row r="3084" spans="3:5" x14ac:dyDescent="0.4">
      <c r="C3084" s="31"/>
      <c r="E3084" s="30"/>
    </row>
    <row r="3085" spans="3:5" x14ac:dyDescent="0.4">
      <c r="C3085" s="31"/>
      <c r="E3085" s="30"/>
    </row>
    <row r="3086" spans="3:5" x14ac:dyDescent="0.4">
      <c r="C3086" s="31"/>
      <c r="E3086" s="30"/>
    </row>
    <row r="3087" spans="3:5" x14ac:dyDescent="0.4">
      <c r="C3087" s="31"/>
      <c r="E3087" s="30"/>
    </row>
    <row r="3088" spans="3:5" x14ac:dyDescent="0.4">
      <c r="C3088" s="31"/>
      <c r="E3088" s="30"/>
    </row>
    <row r="3089" spans="3:5" x14ac:dyDescent="0.4">
      <c r="C3089" s="31"/>
      <c r="E3089" s="30"/>
    </row>
    <row r="3090" spans="3:5" x14ac:dyDescent="0.4">
      <c r="C3090" s="31"/>
      <c r="E3090" s="30"/>
    </row>
    <row r="3091" spans="3:5" x14ac:dyDescent="0.4">
      <c r="C3091" s="31"/>
      <c r="E3091" s="30"/>
    </row>
    <row r="3092" spans="3:5" x14ac:dyDescent="0.4">
      <c r="C3092" s="31"/>
      <c r="E3092" s="30"/>
    </row>
    <row r="3093" spans="3:5" x14ac:dyDescent="0.4">
      <c r="C3093" s="31"/>
      <c r="E3093" s="30"/>
    </row>
    <row r="3094" spans="3:5" x14ac:dyDescent="0.4">
      <c r="C3094" s="31"/>
      <c r="E3094" s="30"/>
    </row>
    <row r="3095" spans="3:5" x14ac:dyDescent="0.4">
      <c r="C3095" s="31"/>
      <c r="E3095" s="30"/>
    </row>
    <row r="3096" spans="3:5" x14ac:dyDescent="0.4">
      <c r="C3096" s="31"/>
      <c r="E3096" s="30"/>
    </row>
    <row r="3097" spans="3:5" x14ac:dyDescent="0.4">
      <c r="C3097" s="31"/>
      <c r="E3097" s="30"/>
    </row>
    <row r="3098" spans="3:5" x14ac:dyDescent="0.4">
      <c r="C3098" s="31"/>
      <c r="E3098" s="30"/>
    </row>
    <row r="3099" spans="3:5" x14ac:dyDescent="0.4">
      <c r="C3099" s="31"/>
      <c r="E3099" s="30"/>
    </row>
    <row r="3100" spans="3:5" x14ac:dyDescent="0.4">
      <c r="C3100" s="31"/>
      <c r="E3100" s="30"/>
    </row>
    <row r="3101" spans="3:5" x14ac:dyDescent="0.4">
      <c r="C3101" s="31"/>
      <c r="E3101" s="30"/>
    </row>
    <row r="3102" spans="3:5" x14ac:dyDescent="0.4">
      <c r="C3102" s="31"/>
      <c r="E3102" s="30"/>
    </row>
    <row r="3103" spans="3:5" x14ac:dyDescent="0.4">
      <c r="C3103" s="31"/>
      <c r="E3103" s="30"/>
    </row>
    <row r="3104" spans="3:5" x14ac:dyDescent="0.4">
      <c r="C3104" s="31"/>
      <c r="E3104" s="30"/>
    </row>
    <row r="3105" spans="3:5" x14ac:dyDescent="0.4">
      <c r="C3105" s="31"/>
      <c r="E3105" s="30"/>
    </row>
    <row r="3106" spans="3:5" x14ac:dyDescent="0.4">
      <c r="C3106" s="31"/>
      <c r="E3106" s="30"/>
    </row>
    <row r="3107" spans="3:5" x14ac:dyDescent="0.4">
      <c r="C3107" s="31"/>
      <c r="E3107" s="30"/>
    </row>
    <row r="3108" spans="3:5" x14ac:dyDescent="0.4">
      <c r="C3108" s="31"/>
      <c r="E3108" s="30"/>
    </row>
    <row r="3109" spans="3:5" x14ac:dyDescent="0.4">
      <c r="C3109" s="31"/>
      <c r="E3109" s="30"/>
    </row>
    <row r="3110" spans="3:5" x14ac:dyDescent="0.4">
      <c r="C3110" s="31"/>
      <c r="E3110" s="30"/>
    </row>
    <row r="3111" spans="3:5" x14ac:dyDescent="0.4">
      <c r="C3111" s="31"/>
      <c r="E3111" s="30"/>
    </row>
    <row r="3112" spans="3:5" x14ac:dyDescent="0.4">
      <c r="C3112" s="31"/>
      <c r="E3112" s="30"/>
    </row>
    <row r="3113" spans="3:5" x14ac:dyDescent="0.4">
      <c r="C3113" s="31"/>
      <c r="E3113" s="30"/>
    </row>
    <row r="3114" spans="3:5" x14ac:dyDescent="0.4">
      <c r="C3114" s="31"/>
      <c r="E3114" s="30"/>
    </row>
    <row r="3115" spans="3:5" x14ac:dyDescent="0.4">
      <c r="C3115" s="31"/>
      <c r="E3115" s="30"/>
    </row>
    <row r="3116" spans="3:5" x14ac:dyDescent="0.4">
      <c r="C3116" s="31"/>
      <c r="E3116" s="30"/>
    </row>
    <row r="3117" spans="3:5" x14ac:dyDescent="0.4">
      <c r="C3117" s="31"/>
      <c r="E3117" s="30"/>
    </row>
    <row r="3118" spans="3:5" x14ac:dyDescent="0.4">
      <c r="C3118" s="31"/>
      <c r="E3118" s="30"/>
    </row>
    <row r="3119" spans="3:5" x14ac:dyDescent="0.4">
      <c r="C3119" s="31"/>
      <c r="E3119" s="30"/>
    </row>
    <row r="3120" spans="3:5" x14ac:dyDescent="0.4">
      <c r="C3120" s="31"/>
      <c r="E3120" s="30"/>
    </row>
    <row r="3121" spans="3:5" x14ac:dyDescent="0.4">
      <c r="C3121" s="31"/>
      <c r="E3121" s="30"/>
    </row>
    <row r="3122" spans="3:5" x14ac:dyDescent="0.4">
      <c r="C3122" s="31"/>
      <c r="E3122" s="30"/>
    </row>
    <row r="3123" spans="3:5" x14ac:dyDescent="0.4">
      <c r="C3123" s="31"/>
      <c r="E3123" s="30"/>
    </row>
    <row r="3124" spans="3:5" x14ac:dyDescent="0.4">
      <c r="C3124" s="31"/>
      <c r="E3124" s="30"/>
    </row>
    <row r="3125" spans="3:5" x14ac:dyDescent="0.4">
      <c r="C3125" s="31"/>
      <c r="E3125" s="30"/>
    </row>
    <row r="3126" spans="3:5" x14ac:dyDescent="0.4">
      <c r="C3126" s="31"/>
      <c r="E3126" s="30"/>
    </row>
    <row r="3127" spans="3:5" x14ac:dyDescent="0.4">
      <c r="C3127" s="31"/>
      <c r="E3127" s="30"/>
    </row>
    <row r="3128" spans="3:5" x14ac:dyDescent="0.4">
      <c r="C3128" s="31"/>
      <c r="E3128" s="30"/>
    </row>
    <row r="3129" spans="3:5" x14ac:dyDescent="0.4">
      <c r="C3129" s="31"/>
      <c r="E3129" s="30"/>
    </row>
    <row r="3130" spans="3:5" x14ac:dyDescent="0.4">
      <c r="C3130" s="31"/>
      <c r="E3130" s="30"/>
    </row>
    <row r="3131" spans="3:5" x14ac:dyDescent="0.4">
      <c r="C3131" s="31"/>
      <c r="E3131" s="30"/>
    </row>
    <row r="3132" spans="3:5" x14ac:dyDescent="0.4">
      <c r="C3132" s="31"/>
      <c r="E3132" s="30"/>
    </row>
    <row r="3133" spans="3:5" x14ac:dyDescent="0.4">
      <c r="C3133" s="31"/>
      <c r="E3133" s="30"/>
    </row>
    <row r="3134" spans="3:5" x14ac:dyDescent="0.4">
      <c r="C3134" s="31"/>
      <c r="E3134" s="30"/>
    </row>
    <row r="3135" spans="3:5" x14ac:dyDescent="0.4">
      <c r="C3135" s="31"/>
      <c r="E3135" s="30"/>
    </row>
    <row r="3136" spans="3:5" x14ac:dyDescent="0.4">
      <c r="C3136" s="31"/>
      <c r="E3136" s="30"/>
    </row>
    <row r="3137" spans="3:5" x14ac:dyDescent="0.4">
      <c r="C3137" s="31"/>
      <c r="E3137" s="30"/>
    </row>
    <row r="3138" spans="3:5" x14ac:dyDescent="0.4">
      <c r="C3138" s="31"/>
      <c r="E3138" s="30"/>
    </row>
    <row r="3139" spans="3:5" x14ac:dyDescent="0.4">
      <c r="C3139" s="31"/>
      <c r="E3139" s="30"/>
    </row>
    <row r="3140" spans="3:5" x14ac:dyDescent="0.4">
      <c r="C3140" s="31"/>
      <c r="E3140" s="30"/>
    </row>
    <row r="3141" spans="3:5" x14ac:dyDescent="0.4">
      <c r="C3141" s="31"/>
      <c r="E3141" s="30"/>
    </row>
    <row r="3142" spans="3:5" x14ac:dyDescent="0.4">
      <c r="C3142" s="31"/>
      <c r="E3142" s="30"/>
    </row>
    <row r="3143" spans="3:5" x14ac:dyDescent="0.4">
      <c r="C3143" s="31"/>
      <c r="E3143" s="30"/>
    </row>
    <row r="3144" spans="3:5" x14ac:dyDescent="0.4">
      <c r="C3144" s="31"/>
      <c r="E3144" s="30"/>
    </row>
    <row r="3145" spans="3:5" x14ac:dyDescent="0.4">
      <c r="C3145" s="31"/>
      <c r="E3145" s="30"/>
    </row>
    <row r="3146" spans="3:5" x14ac:dyDescent="0.4">
      <c r="C3146" s="31"/>
      <c r="E3146" s="30"/>
    </row>
    <row r="3147" spans="3:5" x14ac:dyDescent="0.4">
      <c r="C3147" s="31"/>
      <c r="E3147" s="30"/>
    </row>
    <row r="3148" spans="3:5" x14ac:dyDescent="0.4">
      <c r="C3148" s="31"/>
      <c r="E3148" s="30"/>
    </row>
    <row r="3149" spans="3:5" x14ac:dyDescent="0.4">
      <c r="C3149" s="31"/>
      <c r="E3149" s="30"/>
    </row>
    <row r="3150" spans="3:5" x14ac:dyDescent="0.4">
      <c r="C3150" s="31"/>
      <c r="E3150" s="30"/>
    </row>
    <row r="3151" spans="3:5" x14ac:dyDescent="0.4">
      <c r="C3151" s="31"/>
      <c r="E3151" s="30"/>
    </row>
    <row r="3152" spans="3:5" x14ac:dyDescent="0.4">
      <c r="C3152" s="31"/>
      <c r="E3152" s="30"/>
    </row>
    <row r="3153" spans="3:5" x14ac:dyDescent="0.4">
      <c r="C3153" s="31"/>
      <c r="E3153" s="30"/>
    </row>
    <row r="3154" spans="3:5" x14ac:dyDescent="0.4">
      <c r="C3154" s="31"/>
      <c r="E3154" s="30"/>
    </row>
    <row r="3155" spans="3:5" x14ac:dyDescent="0.4">
      <c r="C3155" s="31"/>
      <c r="E3155" s="30"/>
    </row>
    <row r="3156" spans="3:5" x14ac:dyDescent="0.4">
      <c r="C3156" s="31"/>
      <c r="E3156" s="30"/>
    </row>
    <row r="3157" spans="3:5" x14ac:dyDescent="0.4">
      <c r="C3157" s="31"/>
      <c r="E3157" s="30"/>
    </row>
    <row r="3158" spans="3:5" x14ac:dyDescent="0.4">
      <c r="C3158" s="31"/>
      <c r="E3158" s="30"/>
    </row>
    <row r="3159" spans="3:5" x14ac:dyDescent="0.4">
      <c r="C3159" s="31"/>
      <c r="E3159" s="30"/>
    </row>
    <row r="3160" spans="3:5" x14ac:dyDescent="0.4">
      <c r="C3160" s="31"/>
      <c r="E3160" s="30"/>
    </row>
    <row r="3161" spans="3:5" x14ac:dyDescent="0.4">
      <c r="C3161" s="31"/>
      <c r="E3161" s="30"/>
    </row>
    <row r="3162" spans="3:5" x14ac:dyDescent="0.4">
      <c r="C3162" s="31"/>
      <c r="E3162" s="30"/>
    </row>
    <row r="3163" spans="3:5" x14ac:dyDescent="0.4">
      <c r="C3163" s="31"/>
      <c r="E3163" s="30"/>
    </row>
    <row r="3164" spans="3:5" x14ac:dyDescent="0.4">
      <c r="C3164" s="31"/>
      <c r="E3164" s="30"/>
    </row>
    <row r="3165" spans="3:5" x14ac:dyDescent="0.4">
      <c r="C3165" s="31"/>
      <c r="E3165" s="30"/>
    </row>
    <row r="3166" spans="3:5" x14ac:dyDescent="0.4">
      <c r="C3166" s="31"/>
      <c r="E3166" s="30"/>
    </row>
    <row r="3167" spans="3:5" x14ac:dyDescent="0.4">
      <c r="C3167" s="31"/>
      <c r="E3167" s="30"/>
    </row>
    <row r="3168" spans="3:5" x14ac:dyDescent="0.4">
      <c r="C3168" s="31"/>
      <c r="E3168" s="30"/>
    </row>
    <row r="3169" spans="3:5" x14ac:dyDescent="0.4">
      <c r="C3169" s="31"/>
      <c r="E3169" s="30"/>
    </row>
    <row r="3170" spans="3:5" x14ac:dyDescent="0.4">
      <c r="C3170" s="31"/>
      <c r="E3170" s="30"/>
    </row>
    <row r="3171" spans="3:5" x14ac:dyDescent="0.4">
      <c r="C3171" s="31"/>
      <c r="E3171" s="30"/>
    </row>
    <row r="3172" spans="3:5" x14ac:dyDescent="0.4">
      <c r="C3172" s="31"/>
      <c r="E3172" s="30"/>
    </row>
    <row r="3173" spans="3:5" x14ac:dyDescent="0.4">
      <c r="C3173" s="31"/>
      <c r="E3173" s="30"/>
    </row>
    <row r="3174" spans="3:5" x14ac:dyDescent="0.4">
      <c r="C3174" s="31"/>
      <c r="E3174" s="30"/>
    </row>
    <row r="3175" spans="3:5" x14ac:dyDescent="0.4">
      <c r="C3175" s="31"/>
      <c r="E3175" s="30"/>
    </row>
    <row r="3176" spans="3:5" x14ac:dyDescent="0.4">
      <c r="C3176" s="31"/>
      <c r="E3176" s="30"/>
    </row>
    <row r="3177" spans="3:5" x14ac:dyDescent="0.4">
      <c r="C3177" s="31"/>
      <c r="E3177" s="30"/>
    </row>
    <row r="3178" spans="3:5" x14ac:dyDescent="0.4">
      <c r="C3178" s="31"/>
      <c r="E3178" s="30"/>
    </row>
    <row r="3179" spans="3:5" x14ac:dyDescent="0.4">
      <c r="C3179" s="31"/>
      <c r="E3179" s="30"/>
    </row>
    <row r="3180" spans="3:5" x14ac:dyDescent="0.4">
      <c r="C3180" s="31"/>
      <c r="E3180" s="30"/>
    </row>
    <row r="3181" spans="3:5" x14ac:dyDescent="0.4">
      <c r="C3181" s="31"/>
      <c r="E3181" s="30"/>
    </row>
    <row r="3182" spans="3:5" x14ac:dyDescent="0.4">
      <c r="C3182" s="31"/>
      <c r="E3182" s="30"/>
    </row>
    <row r="3183" spans="3:5" x14ac:dyDescent="0.4">
      <c r="C3183" s="31"/>
      <c r="E3183" s="30"/>
    </row>
    <row r="3184" spans="3:5" x14ac:dyDescent="0.4">
      <c r="C3184" s="31"/>
      <c r="E3184" s="30"/>
    </row>
    <row r="3185" spans="3:5" x14ac:dyDescent="0.4">
      <c r="C3185" s="31"/>
      <c r="E3185" s="30"/>
    </row>
    <row r="3186" spans="3:5" x14ac:dyDescent="0.4">
      <c r="C3186" s="31"/>
      <c r="E3186" s="30"/>
    </row>
    <row r="3187" spans="3:5" x14ac:dyDescent="0.4">
      <c r="C3187" s="31"/>
      <c r="E3187" s="30"/>
    </row>
    <row r="3188" spans="3:5" x14ac:dyDescent="0.4">
      <c r="C3188" s="31"/>
      <c r="E3188" s="30"/>
    </row>
    <row r="3189" spans="3:5" x14ac:dyDescent="0.4">
      <c r="C3189" s="31"/>
      <c r="E3189" s="30"/>
    </row>
    <row r="3190" spans="3:5" x14ac:dyDescent="0.4">
      <c r="C3190" s="31"/>
      <c r="E3190" s="30"/>
    </row>
    <row r="3191" spans="3:5" x14ac:dyDescent="0.4">
      <c r="C3191" s="31"/>
      <c r="E3191" s="30"/>
    </row>
    <row r="3192" spans="3:5" x14ac:dyDescent="0.4">
      <c r="C3192" s="31"/>
      <c r="E3192" s="30"/>
    </row>
    <row r="3193" spans="3:5" x14ac:dyDescent="0.4">
      <c r="C3193" s="31"/>
      <c r="E3193" s="30"/>
    </row>
    <row r="3194" spans="3:5" x14ac:dyDescent="0.4">
      <c r="C3194" s="31"/>
      <c r="E3194" s="30"/>
    </row>
    <row r="3195" spans="3:5" x14ac:dyDescent="0.4">
      <c r="C3195" s="31"/>
      <c r="E3195" s="30"/>
    </row>
    <row r="3196" spans="3:5" x14ac:dyDescent="0.4">
      <c r="C3196" s="31"/>
      <c r="E3196" s="30"/>
    </row>
    <row r="3197" spans="3:5" x14ac:dyDescent="0.4">
      <c r="C3197" s="31"/>
      <c r="E3197" s="30"/>
    </row>
    <row r="3198" spans="3:5" x14ac:dyDescent="0.4">
      <c r="C3198" s="31"/>
      <c r="E3198" s="30"/>
    </row>
    <row r="3199" spans="3:5" x14ac:dyDescent="0.4">
      <c r="C3199" s="31"/>
      <c r="E3199" s="30"/>
    </row>
    <row r="3200" spans="3:5" x14ac:dyDescent="0.4">
      <c r="C3200" s="31"/>
      <c r="E3200" s="30"/>
    </row>
    <row r="3201" spans="3:5" x14ac:dyDescent="0.4">
      <c r="C3201" s="31"/>
      <c r="E3201" s="30"/>
    </row>
    <row r="3202" spans="3:5" x14ac:dyDescent="0.4">
      <c r="C3202" s="31"/>
      <c r="E3202" s="30"/>
    </row>
    <row r="3203" spans="3:5" x14ac:dyDescent="0.4">
      <c r="C3203" s="31"/>
      <c r="E3203" s="30"/>
    </row>
    <row r="3204" spans="3:5" x14ac:dyDescent="0.4">
      <c r="C3204" s="31"/>
      <c r="E3204" s="30"/>
    </row>
    <row r="3205" spans="3:5" x14ac:dyDescent="0.4">
      <c r="C3205" s="31"/>
      <c r="E3205" s="30"/>
    </row>
    <row r="3206" spans="3:5" x14ac:dyDescent="0.4">
      <c r="C3206" s="31"/>
      <c r="E3206" s="30"/>
    </row>
    <row r="3207" spans="3:5" x14ac:dyDescent="0.4">
      <c r="C3207" s="31"/>
      <c r="E3207" s="30"/>
    </row>
    <row r="3208" spans="3:5" x14ac:dyDescent="0.4">
      <c r="C3208" s="31"/>
      <c r="E3208" s="30"/>
    </row>
    <row r="3209" spans="3:5" x14ac:dyDescent="0.4">
      <c r="C3209" s="31"/>
      <c r="E3209" s="30"/>
    </row>
    <row r="3210" spans="3:5" x14ac:dyDescent="0.4">
      <c r="C3210" s="31"/>
      <c r="E3210" s="30"/>
    </row>
    <row r="3211" spans="3:5" x14ac:dyDescent="0.4">
      <c r="C3211" s="31"/>
      <c r="E3211" s="30"/>
    </row>
    <row r="3212" spans="3:5" x14ac:dyDescent="0.4">
      <c r="C3212" s="31"/>
      <c r="E3212" s="30"/>
    </row>
    <row r="3213" spans="3:5" x14ac:dyDescent="0.4">
      <c r="C3213" s="31"/>
      <c r="E3213" s="30"/>
    </row>
    <row r="3214" spans="3:5" x14ac:dyDescent="0.4">
      <c r="C3214" s="31"/>
      <c r="E3214" s="30"/>
    </row>
    <row r="3215" spans="3:5" x14ac:dyDescent="0.4">
      <c r="C3215" s="31"/>
      <c r="E3215" s="30"/>
    </row>
    <row r="3216" spans="3:5" x14ac:dyDescent="0.4">
      <c r="C3216" s="31"/>
      <c r="E3216" s="30"/>
    </row>
    <row r="3217" spans="3:5" x14ac:dyDescent="0.4">
      <c r="C3217" s="31"/>
      <c r="E3217" s="30"/>
    </row>
    <row r="3218" spans="3:5" x14ac:dyDescent="0.4">
      <c r="C3218" s="31"/>
      <c r="E3218" s="30"/>
    </row>
    <row r="3219" spans="3:5" x14ac:dyDescent="0.4">
      <c r="C3219" s="31"/>
      <c r="E3219" s="30"/>
    </row>
    <row r="3220" spans="3:5" x14ac:dyDescent="0.4">
      <c r="C3220" s="31"/>
      <c r="E3220" s="30"/>
    </row>
    <row r="3221" spans="3:5" x14ac:dyDescent="0.4">
      <c r="C3221" s="31"/>
      <c r="E3221" s="30"/>
    </row>
    <row r="3222" spans="3:5" x14ac:dyDescent="0.4">
      <c r="C3222" s="31"/>
      <c r="E3222" s="30"/>
    </row>
    <row r="3223" spans="3:5" x14ac:dyDescent="0.4">
      <c r="C3223" s="31"/>
      <c r="E3223" s="30"/>
    </row>
    <row r="3224" spans="3:5" x14ac:dyDescent="0.4">
      <c r="C3224" s="31"/>
      <c r="E3224" s="30"/>
    </row>
    <row r="3225" spans="3:5" x14ac:dyDescent="0.4">
      <c r="C3225" s="31"/>
      <c r="E3225" s="30"/>
    </row>
    <row r="3226" spans="3:5" x14ac:dyDescent="0.4">
      <c r="C3226" s="31"/>
      <c r="E3226" s="30"/>
    </row>
    <row r="3227" spans="3:5" x14ac:dyDescent="0.4">
      <c r="C3227" s="31"/>
      <c r="E3227" s="30"/>
    </row>
    <row r="3228" spans="3:5" x14ac:dyDescent="0.4">
      <c r="C3228" s="31"/>
      <c r="E3228" s="30"/>
    </row>
    <row r="3229" spans="3:5" x14ac:dyDescent="0.4">
      <c r="C3229" s="31"/>
      <c r="E3229" s="30"/>
    </row>
    <row r="3230" spans="3:5" x14ac:dyDescent="0.4">
      <c r="C3230" s="31"/>
      <c r="E3230" s="30"/>
    </row>
    <row r="3231" spans="3:5" x14ac:dyDescent="0.4">
      <c r="C3231" s="31"/>
      <c r="E3231" s="30"/>
    </row>
    <row r="3232" spans="3:5" x14ac:dyDescent="0.4">
      <c r="C3232" s="31"/>
      <c r="E3232" s="30"/>
    </row>
    <row r="3233" spans="3:5" x14ac:dyDescent="0.4">
      <c r="C3233" s="31"/>
      <c r="E3233" s="30"/>
    </row>
    <row r="3234" spans="3:5" x14ac:dyDescent="0.4">
      <c r="C3234" s="31"/>
      <c r="E3234" s="30"/>
    </row>
    <row r="3235" spans="3:5" x14ac:dyDescent="0.4">
      <c r="C3235" s="31"/>
      <c r="E3235" s="30"/>
    </row>
    <row r="3236" spans="3:5" x14ac:dyDescent="0.4">
      <c r="C3236" s="31"/>
      <c r="E3236" s="30"/>
    </row>
    <row r="3237" spans="3:5" x14ac:dyDescent="0.4">
      <c r="C3237" s="31"/>
      <c r="E3237" s="30"/>
    </row>
    <row r="3238" spans="3:5" x14ac:dyDescent="0.4">
      <c r="C3238" s="31"/>
      <c r="E3238" s="30"/>
    </row>
    <row r="3239" spans="3:5" x14ac:dyDescent="0.4">
      <c r="C3239" s="31"/>
      <c r="E3239" s="30"/>
    </row>
    <row r="3240" spans="3:5" x14ac:dyDescent="0.4">
      <c r="C3240" s="31"/>
      <c r="E3240" s="30"/>
    </row>
    <row r="3241" spans="3:5" x14ac:dyDescent="0.4">
      <c r="C3241" s="31"/>
      <c r="E3241" s="30"/>
    </row>
    <row r="3242" spans="3:5" x14ac:dyDescent="0.4">
      <c r="C3242" s="31"/>
      <c r="E3242" s="30"/>
    </row>
    <row r="3243" spans="3:5" x14ac:dyDescent="0.4">
      <c r="C3243" s="31"/>
      <c r="E3243" s="30"/>
    </row>
    <row r="3244" spans="3:5" x14ac:dyDescent="0.4">
      <c r="C3244" s="31"/>
      <c r="E3244" s="30"/>
    </row>
    <row r="3245" spans="3:5" x14ac:dyDescent="0.4">
      <c r="C3245" s="31"/>
      <c r="E3245" s="30"/>
    </row>
    <row r="3246" spans="3:5" x14ac:dyDescent="0.4">
      <c r="C3246" s="31"/>
      <c r="E3246" s="30"/>
    </row>
    <row r="3247" spans="3:5" x14ac:dyDescent="0.4">
      <c r="C3247" s="31"/>
      <c r="E3247" s="30"/>
    </row>
    <row r="3248" spans="3:5" x14ac:dyDescent="0.4">
      <c r="C3248" s="31"/>
      <c r="E3248" s="30"/>
    </row>
    <row r="3249" spans="3:5" x14ac:dyDescent="0.4">
      <c r="C3249" s="31"/>
      <c r="E3249" s="30"/>
    </row>
    <row r="3250" spans="3:5" x14ac:dyDescent="0.4">
      <c r="C3250" s="31"/>
      <c r="E3250" s="30"/>
    </row>
    <row r="3251" spans="3:5" x14ac:dyDescent="0.4">
      <c r="C3251" s="31"/>
      <c r="E3251" s="30"/>
    </row>
    <row r="3252" spans="3:5" x14ac:dyDescent="0.4">
      <c r="C3252" s="31"/>
      <c r="E3252" s="30"/>
    </row>
    <row r="3253" spans="3:5" x14ac:dyDescent="0.4">
      <c r="C3253" s="31"/>
      <c r="E3253" s="30"/>
    </row>
    <row r="3254" spans="3:5" x14ac:dyDescent="0.4">
      <c r="C3254" s="31"/>
      <c r="E3254" s="30"/>
    </row>
    <row r="3255" spans="3:5" x14ac:dyDescent="0.4">
      <c r="C3255" s="31"/>
      <c r="E3255" s="30"/>
    </row>
    <row r="3256" spans="3:5" x14ac:dyDescent="0.4">
      <c r="C3256" s="31"/>
      <c r="E3256" s="30"/>
    </row>
    <row r="3257" spans="3:5" x14ac:dyDescent="0.4">
      <c r="C3257" s="31"/>
      <c r="E3257" s="30"/>
    </row>
    <row r="3258" spans="3:5" x14ac:dyDescent="0.4">
      <c r="C3258" s="31"/>
      <c r="E3258" s="30"/>
    </row>
    <row r="3259" spans="3:5" x14ac:dyDescent="0.4">
      <c r="C3259" s="31"/>
      <c r="E3259" s="30"/>
    </row>
    <row r="3260" spans="3:5" x14ac:dyDescent="0.4">
      <c r="C3260" s="31"/>
      <c r="E3260" s="30"/>
    </row>
    <row r="3261" spans="3:5" x14ac:dyDescent="0.4">
      <c r="C3261" s="31"/>
      <c r="E3261" s="30"/>
    </row>
    <row r="3262" spans="3:5" x14ac:dyDescent="0.4">
      <c r="C3262" s="31"/>
      <c r="E3262" s="30"/>
    </row>
    <row r="3263" spans="3:5" x14ac:dyDescent="0.4">
      <c r="C3263" s="31"/>
      <c r="E3263" s="30"/>
    </row>
    <row r="3264" spans="3:5" x14ac:dyDescent="0.4">
      <c r="C3264" s="31"/>
      <c r="E3264" s="30"/>
    </row>
    <row r="3265" spans="3:5" x14ac:dyDescent="0.4">
      <c r="C3265" s="31"/>
      <c r="E3265" s="30"/>
    </row>
    <row r="3266" spans="3:5" x14ac:dyDescent="0.4">
      <c r="C3266" s="31"/>
      <c r="E3266" s="30"/>
    </row>
    <row r="3267" spans="3:5" x14ac:dyDescent="0.4">
      <c r="C3267" s="31"/>
      <c r="E3267" s="30"/>
    </row>
    <row r="3268" spans="3:5" x14ac:dyDescent="0.4">
      <c r="C3268" s="31"/>
      <c r="E3268" s="30"/>
    </row>
    <row r="3269" spans="3:5" x14ac:dyDescent="0.4">
      <c r="C3269" s="31"/>
      <c r="E3269" s="30"/>
    </row>
    <row r="3270" spans="3:5" x14ac:dyDescent="0.4">
      <c r="C3270" s="31"/>
      <c r="E3270" s="30"/>
    </row>
    <row r="3271" spans="3:5" x14ac:dyDescent="0.4">
      <c r="C3271" s="31"/>
      <c r="E3271" s="30"/>
    </row>
    <row r="3272" spans="3:5" x14ac:dyDescent="0.4">
      <c r="C3272" s="31"/>
      <c r="E3272" s="30"/>
    </row>
    <row r="3273" spans="3:5" x14ac:dyDescent="0.4">
      <c r="C3273" s="31"/>
      <c r="E3273" s="30"/>
    </row>
    <row r="3274" spans="3:5" x14ac:dyDescent="0.4">
      <c r="C3274" s="31"/>
      <c r="E3274" s="30"/>
    </row>
    <row r="3275" spans="3:5" x14ac:dyDescent="0.4">
      <c r="C3275" s="31"/>
      <c r="E3275" s="30"/>
    </row>
    <row r="3276" spans="3:5" x14ac:dyDescent="0.4">
      <c r="C3276" s="31"/>
      <c r="E3276" s="30"/>
    </row>
    <row r="3277" spans="3:5" x14ac:dyDescent="0.4">
      <c r="C3277" s="31"/>
      <c r="E3277" s="30"/>
    </row>
    <row r="3278" spans="3:5" x14ac:dyDescent="0.4">
      <c r="C3278" s="31"/>
      <c r="E3278" s="30"/>
    </row>
    <row r="3279" spans="3:5" x14ac:dyDescent="0.4">
      <c r="C3279" s="31"/>
      <c r="E3279" s="30"/>
    </row>
    <row r="3280" spans="3:5" x14ac:dyDescent="0.4">
      <c r="C3280" s="31"/>
      <c r="E3280" s="30"/>
    </row>
    <row r="3281" spans="3:5" x14ac:dyDescent="0.4">
      <c r="C3281" s="31"/>
      <c r="E3281" s="30"/>
    </row>
    <row r="3282" spans="3:5" x14ac:dyDescent="0.4">
      <c r="C3282" s="31"/>
      <c r="E3282" s="30"/>
    </row>
    <row r="3283" spans="3:5" x14ac:dyDescent="0.4">
      <c r="C3283" s="31"/>
      <c r="E3283" s="30"/>
    </row>
    <row r="3284" spans="3:5" x14ac:dyDescent="0.4">
      <c r="C3284" s="31"/>
      <c r="E3284" s="30"/>
    </row>
    <row r="3285" spans="3:5" x14ac:dyDescent="0.4">
      <c r="C3285" s="31"/>
      <c r="E3285" s="30"/>
    </row>
    <row r="3286" spans="3:5" x14ac:dyDescent="0.4">
      <c r="C3286" s="31"/>
      <c r="E3286" s="30"/>
    </row>
    <row r="3287" spans="3:5" x14ac:dyDescent="0.4">
      <c r="C3287" s="31"/>
      <c r="E3287" s="30"/>
    </row>
    <row r="3288" spans="3:5" x14ac:dyDescent="0.4">
      <c r="C3288" s="31"/>
      <c r="E3288" s="30"/>
    </row>
    <row r="3289" spans="3:5" x14ac:dyDescent="0.4">
      <c r="C3289" s="31"/>
      <c r="E3289" s="30"/>
    </row>
    <row r="3290" spans="3:5" x14ac:dyDescent="0.4">
      <c r="C3290" s="31"/>
      <c r="E3290" s="30"/>
    </row>
    <row r="3291" spans="3:5" x14ac:dyDescent="0.4">
      <c r="C3291" s="31"/>
      <c r="E3291" s="30"/>
    </row>
    <row r="3292" spans="3:5" x14ac:dyDescent="0.4">
      <c r="C3292" s="31"/>
      <c r="E3292" s="30"/>
    </row>
    <row r="3293" spans="3:5" x14ac:dyDescent="0.4">
      <c r="C3293" s="31"/>
      <c r="E3293" s="30"/>
    </row>
    <row r="3294" spans="3:5" x14ac:dyDescent="0.4">
      <c r="C3294" s="31"/>
      <c r="E3294" s="30"/>
    </row>
    <row r="3295" spans="3:5" x14ac:dyDescent="0.4">
      <c r="C3295" s="31"/>
      <c r="E3295" s="30"/>
    </row>
    <row r="3296" spans="3:5" x14ac:dyDescent="0.4">
      <c r="C3296" s="31"/>
      <c r="E3296" s="30"/>
    </row>
    <row r="3297" spans="3:5" x14ac:dyDescent="0.4">
      <c r="C3297" s="31"/>
      <c r="E3297" s="30"/>
    </row>
    <row r="3298" spans="3:5" x14ac:dyDescent="0.4">
      <c r="C3298" s="31"/>
      <c r="E3298" s="30"/>
    </row>
    <row r="3299" spans="3:5" x14ac:dyDescent="0.4">
      <c r="C3299" s="31"/>
      <c r="E3299" s="30"/>
    </row>
    <row r="3300" spans="3:5" x14ac:dyDescent="0.4">
      <c r="C3300" s="31"/>
      <c r="E3300" s="30"/>
    </row>
    <row r="3301" spans="3:5" x14ac:dyDescent="0.4">
      <c r="C3301" s="31"/>
      <c r="E3301" s="30"/>
    </row>
    <row r="3302" spans="3:5" x14ac:dyDescent="0.4">
      <c r="C3302" s="31"/>
      <c r="E3302" s="30"/>
    </row>
    <row r="3303" spans="3:5" x14ac:dyDescent="0.4">
      <c r="C3303" s="31"/>
      <c r="E3303" s="30"/>
    </row>
    <row r="3304" spans="3:5" x14ac:dyDescent="0.4">
      <c r="C3304" s="31"/>
      <c r="E3304" s="30"/>
    </row>
    <row r="3305" spans="3:5" x14ac:dyDescent="0.4">
      <c r="C3305" s="31"/>
      <c r="E3305" s="30"/>
    </row>
    <row r="3306" spans="3:5" x14ac:dyDescent="0.4">
      <c r="C3306" s="31"/>
      <c r="E3306" s="30"/>
    </row>
    <row r="3307" spans="3:5" x14ac:dyDescent="0.4">
      <c r="C3307" s="31"/>
      <c r="E3307" s="30"/>
    </row>
    <row r="3308" spans="3:5" x14ac:dyDescent="0.4">
      <c r="C3308" s="31"/>
      <c r="E3308" s="30"/>
    </row>
    <row r="3309" spans="3:5" x14ac:dyDescent="0.4">
      <c r="C3309" s="31"/>
      <c r="E3309" s="30"/>
    </row>
    <row r="3310" spans="3:5" x14ac:dyDescent="0.4">
      <c r="C3310" s="31"/>
      <c r="E3310" s="30"/>
    </row>
    <row r="3311" spans="3:5" x14ac:dyDescent="0.4">
      <c r="C3311" s="31"/>
      <c r="E3311" s="30"/>
    </row>
    <row r="3312" spans="3:5" x14ac:dyDescent="0.4">
      <c r="C3312" s="31"/>
      <c r="E3312" s="30"/>
    </row>
    <row r="3313" spans="3:5" x14ac:dyDescent="0.4">
      <c r="C3313" s="31"/>
      <c r="E3313" s="30"/>
    </row>
    <row r="3314" spans="3:5" x14ac:dyDescent="0.4">
      <c r="C3314" s="31"/>
      <c r="E3314" s="30"/>
    </row>
    <row r="3315" spans="3:5" x14ac:dyDescent="0.4">
      <c r="C3315" s="31"/>
      <c r="E3315" s="30"/>
    </row>
    <row r="3316" spans="3:5" x14ac:dyDescent="0.4">
      <c r="C3316" s="31"/>
      <c r="E3316" s="30"/>
    </row>
    <row r="3317" spans="3:5" x14ac:dyDescent="0.4">
      <c r="C3317" s="31"/>
      <c r="E3317" s="30"/>
    </row>
    <row r="3318" spans="3:5" x14ac:dyDescent="0.4">
      <c r="C3318" s="31"/>
      <c r="E3318" s="30"/>
    </row>
    <row r="3319" spans="3:5" x14ac:dyDescent="0.4">
      <c r="C3319" s="31"/>
      <c r="E3319" s="30"/>
    </row>
    <row r="3320" spans="3:5" x14ac:dyDescent="0.4">
      <c r="C3320" s="31"/>
      <c r="E3320" s="30"/>
    </row>
    <row r="3321" spans="3:5" x14ac:dyDescent="0.4">
      <c r="C3321" s="31"/>
      <c r="E3321" s="30"/>
    </row>
    <row r="3322" spans="3:5" x14ac:dyDescent="0.4">
      <c r="C3322" s="31"/>
      <c r="E3322" s="30"/>
    </row>
    <row r="3323" spans="3:5" x14ac:dyDescent="0.4">
      <c r="C3323" s="31"/>
      <c r="E3323" s="30"/>
    </row>
    <row r="3324" spans="3:5" x14ac:dyDescent="0.4">
      <c r="C3324" s="31"/>
      <c r="E3324" s="30"/>
    </row>
    <row r="3325" spans="3:5" x14ac:dyDescent="0.4">
      <c r="C3325" s="31"/>
      <c r="E3325" s="30"/>
    </row>
    <row r="3326" spans="3:5" x14ac:dyDescent="0.4">
      <c r="C3326" s="31"/>
      <c r="E3326" s="30"/>
    </row>
    <row r="3327" spans="3:5" x14ac:dyDescent="0.4">
      <c r="C3327" s="31"/>
      <c r="E3327" s="30"/>
    </row>
    <row r="3328" spans="3:5" x14ac:dyDescent="0.4">
      <c r="C3328" s="31"/>
      <c r="E3328" s="30"/>
    </row>
    <row r="3329" spans="3:5" x14ac:dyDescent="0.4">
      <c r="C3329" s="31"/>
      <c r="E3329" s="30"/>
    </row>
    <row r="3330" spans="3:5" x14ac:dyDescent="0.4">
      <c r="C3330" s="31"/>
      <c r="E3330" s="30"/>
    </row>
    <row r="3331" spans="3:5" x14ac:dyDescent="0.4">
      <c r="C3331" s="31"/>
      <c r="E3331" s="30"/>
    </row>
    <row r="3332" spans="3:5" x14ac:dyDescent="0.4">
      <c r="C3332" s="31"/>
      <c r="E3332" s="30"/>
    </row>
    <row r="3333" spans="3:5" x14ac:dyDescent="0.4">
      <c r="C3333" s="31"/>
      <c r="E3333" s="30"/>
    </row>
    <row r="3334" spans="3:5" x14ac:dyDescent="0.4">
      <c r="C3334" s="31"/>
      <c r="E3334" s="30"/>
    </row>
    <row r="3335" spans="3:5" x14ac:dyDescent="0.4">
      <c r="C3335" s="31"/>
      <c r="E3335" s="30"/>
    </row>
    <row r="3336" spans="3:5" x14ac:dyDescent="0.4">
      <c r="C3336" s="31"/>
      <c r="E3336" s="30"/>
    </row>
    <row r="3337" spans="3:5" x14ac:dyDescent="0.4">
      <c r="C3337" s="31"/>
      <c r="E3337" s="30"/>
    </row>
    <row r="3338" spans="3:5" x14ac:dyDescent="0.4">
      <c r="C3338" s="31"/>
      <c r="E3338" s="30"/>
    </row>
    <row r="3339" spans="3:5" x14ac:dyDescent="0.4">
      <c r="C3339" s="31"/>
      <c r="E3339" s="30"/>
    </row>
    <row r="3340" spans="3:5" x14ac:dyDescent="0.4">
      <c r="C3340" s="31"/>
      <c r="E3340" s="30"/>
    </row>
    <row r="3341" spans="3:5" x14ac:dyDescent="0.4">
      <c r="C3341" s="31"/>
      <c r="E3341" s="30"/>
    </row>
    <row r="3342" spans="3:5" x14ac:dyDescent="0.4">
      <c r="C3342" s="31"/>
      <c r="E3342" s="30"/>
    </row>
    <row r="3343" spans="3:5" x14ac:dyDescent="0.4">
      <c r="C3343" s="31"/>
      <c r="E3343" s="30"/>
    </row>
    <row r="3344" spans="3:5" x14ac:dyDescent="0.4">
      <c r="C3344" s="31"/>
      <c r="E3344" s="30"/>
    </row>
    <row r="3345" spans="3:5" x14ac:dyDescent="0.4">
      <c r="C3345" s="31"/>
      <c r="E3345" s="30"/>
    </row>
    <row r="3346" spans="3:5" x14ac:dyDescent="0.4">
      <c r="C3346" s="31"/>
      <c r="E3346" s="30"/>
    </row>
    <row r="3347" spans="3:5" x14ac:dyDescent="0.4">
      <c r="C3347" s="31"/>
      <c r="E3347" s="30"/>
    </row>
    <row r="3348" spans="3:5" x14ac:dyDescent="0.4">
      <c r="C3348" s="31"/>
      <c r="E3348" s="30"/>
    </row>
    <row r="3349" spans="3:5" x14ac:dyDescent="0.4">
      <c r="C3349" s="31"/>
      <c r="E3349" s="30"/>
    </row>
    <row r="3350" spans="3:5" x14ac:dyDescent="0.4">
      <c r="C3350" s="31"/>
      <c r="E3350" s="30"/>
    </row>
    <row r="3351" spans="3:5" x14ac:dyDescent="0.4">
      <c r="C3351" s="31"/>
      <c r="E3351" s="30"/>
    </row>
    <row r="3352" spans="3:5" x14ac:dyDescent="0.4">
      <c r="C3352" s="31"/>
      <c r="E3352" s="30"/>
    </row>
    <row r="3353" spans="3:5" x14ac:dyDescent="0.4">
      <c r="C3353" s="31"/>
      <c r="E3353" s="30"/>
    </row>
    <row r="3354" spans="3:5" x14ac:dyDescent="0.4">
      <c r="C3354" s="31"/>
      <c r="E3354" s="30"/>
    </row>
    <row r="3355" spans="3:5" x14ac:dyDescent="0.4">
      <c r="C3355" s="31"/>
      <c r="E3355" s="30"/>
    </row>
    <row r="3356" spans="3:5" x14ac:dyDescent="0.4">
      <c r="C3356" s="31"/>
      <c r="E3356" s="30"/>
    </row>
    <row r="3357" spans="3:5" x14ac:dyDescent="0.4">
      <c r="C3357" s="31"/>
      <c r="E3357" s="30"/>
    </row>
    <row r="3358" spans="3:5" x14ac:dyDescent="0.4">
      <c r="C3358" s="31"/>
      <c r="E3358" s="30"/>
    </row>
    <row r="3359" spans="3:5" x14ac:dyDescent="0.4">
      <c r="C3359" s="31"/>
      <c r="E3359" s="30"/>
    </row>
    <row r="3360" spans="3:5" x14ac:dyDescent="0.4">
      <c r="C3360" s="31"/>
      <c r="E3360" s="30"/>
    </row>
    <row r="3361" spans="3:5" x14ac:dyDescent="0.4">
      <c r="C3361" s="31"/>
      <c r="E3361" s="30"/>
    </row>
    <row r="3362" spans="3:5" x14ac:dyDescent="0.4">
      <c r="C3362" s="31"/>
      <c r="E3362" s="30"/>
    </row>
    <row r="3363" spans="3:5" x14ac:dyDescent="0.4">
      <c r="C3363" s="31"/>
      <c r="E3363" s="30"/>
    </row>
    <row r="3364" spans="3:5" x14ac:dyDescent="0.4">
      <c r="C3364" s="31"/>
      <c r="E3364" s="30"/>
    </row>
    <row r="3365" spans="3:5" x14ac:dyDescent="0.4">
      <c r="C3365" s="31"/>
      <c r="E3365" s="30"/>
    </row>
    <row r="3366" spans="3:5" x14ac:dyDescent="0.4">
      <c r="C3366" s="31"/>
      <c r="E3366" s="30"/>
    </row>
    <row r="3367" spans="3:5" x14ac:dyDescent="0.4">
      <c r="C3367" s="31"/>
      <c r="E3367" s="30"/>
    </row>
    <row r="3368" spans="3:5" x14ac:dyDescent="0.4">
      <c r="C3368" s="31"/>
      <c r="E3368" s="30"/>
    </row>
    <row r="3369" spans="3:5" x14ac:dyDescent="0.4">
      <c r="C3369" s="31"/>
      <c r="E3369" s="30"/>
    </row>
    <row r="3370" spans="3:5" x14ac:dyDescent="0.4">
      <c r="C3370" s="31"/>
      <c r="E3370" s="30"/>
    </row>
    <row r="3371" spans="3:5" x14ac:dyDescent="0.4">
      <c r="C3371" s="31"/>
      <c r="E3371" s="30"/>
    </row>
    <row r="3372" spans="3:5" x14ac:dyDescent="0.4">
      <c r="C3372" s="31"/>
      <c r="E3372" s="30"/>
    </row>
    <row r="3373" spans="3:5" x14ac:dyDescent="0.4">
      <c r="C3373" s="31"/>
      <c r="E3373" s="30"/>
    </row>
    <row r="3374" spans="3:5" x14ac:dyDescent="0.4">
      <c r="C3374" s="31"/>
      <c r="E3374" s="30"/>
    </row>
    <row r="3375" spans="3:5" x14ac:dyDescent="0.4">
      <c r="C3375" s="31"/>
      <c r="E3375" s="30"/>
    </row>
    <row r="3376" spans="3:5" x14ac:dyDescent="0.4">
      <c r="C3376" s="31"/>
      <c r="E3376" s="30"/>
    </row>
    <row r="3377" spans="3:5" x14ac:dyDescent="0.4">
      <c r="C3377" s="31"/>
      <c r="E3377" s="30"/>
    </row>
    <row r="3378" spans="3:5" x14ac:dyDescent="0.4">
      <c r="C3378" s="31"/>
      <c r="E3378" s="30"/>
    </row>
    <row r="3379" spans="3:5" x14ac:dyDescent="0.4">
      <c r="C3379" s="31"/>
      <c r="E3379" s="30"/>
    </row>
    <row r="3380" spans="3:5" x14ac:dyDescent="0.4">
      <c r="C3380" s="31"/>
      <c r="E3380" s="30"/>
    </row>
    <row r="3381" spans="3:5" x14ac:dyDescent="0.4">
      <c r="C3381" s="31"/>
      <c r="E3381" s="30"/>
    </row>
    <row r="3382" spans="3:5" x14ac:dyDescent="0.4">
      <c r="C3382" s="31"/>
      <c r="E3382" s="30"/>
    </row>
    <row r="3383" spans="3:5" x14ac:dyDescent="0.4">
      <c r="C3383" s="31"/>
      <c r="E3383" s="30"/>
    </row>
    <row r="3384" spans="3:5" x14ac:dyDescent="0.4">
      <c r="C3384" s="31"/>
      <c r="E3384" s="30"/>
    </row>
    <row r="3385" spans="3:5" x14ac:dyDescent="0.4">
      <c r="C3385" s="31"/>
      <c r="E3385" s="30"/>
    </row>
    <row r="3386" spans="3:5" x14ac:dyDescent="0.4">
      <c r="C3386" s="31"/>
      <c r="E3386" s="30"/>
    </row>
    <row r="3387" spans="3:5" x14ac:dyDescent="0.4">
      <c r="C3387" s="31"/>
      <c r="E3387" s="30"/>
    </row>
    <row r="3388" spans="3:5" x14ac:dyDescent="0.4">
      <c r="C3388" s="31"/>
      <c r="E3388" s="30"/>
    </row>
    <row r="3389" spans="3:5" x14ac:dyDescent="0.4">
      <c r="C3389" s="31"/>
      <c r="E3389" s="30"/>
    </row>
    <row r="3390" spans="3:5" x14ac:dyDescent="0.4">
      <c r="C3390" s="31"/>
      <c r="E3390" s="30"/>
    </row>
    <row r="3391" spans="3:5" x14ac:dyDescent="0.4">
      <c r="C3391" s="31"/>
      <c r="E3391" s="30"/>
    </row>
    <row r="3392" spans="3:5" x14ac:dyDescent="0.4">
      <c r="C3392" s="31"/>
      <c r="E3392" s="30"/>
    </row>
    <row r="3393" spans="3:5" x14ac:dyDescent="0.4">
      <c r="C3393" s="31"/>
      <c r="E3393" s="30"/>
    </row>
    <row r="3394" spans="3:5" x14ac:dyDescent="0.4">
      <c r="C3394" s="31"/>
      <c r="E3394" s="30"/>
    </row>
    <row r="3395" spans="3:5" x14ac:dyDescent="0.4">
      <c r="C3395" s="31"/>
      <c r="E3395" s="30"/>
    </row>
    <row r="3396" spans="3:5" x14ac:dyDescent="0.4">
      <c r="C3396" s="31"/>
      <c r="E3396" s="30"/>
    </row>
    <row r="3397" spans="3:5" x14ac:dyDescent="0.4">
      <c r="C3397" s="31"/>
      <c r="E3397" s="30"/>
    </row>
    <row r="3398" spans="3:5" x14ac:dyDescent="0.4">
      <c r="C3398" s="31"/>
      <c r="E3398" s="30"/>
    </row>
    <row r="3399" spans="3:5" x14ac:dyDescent="0.4">
      <c r="C3399" s="31"/>
      <c r="E3399" s="30"/>
    </row>
    <row r="3400" spans="3:5" x14ac:dyDescent="0.4">
      <c r="C3400" s="31"/>
      <c r="E3400" s="30"/>
    </row>
    <row r="3401" spans="3:5" x14ac:dyDescent="0.4">
      <c r="C3401" s="31"/>
      <c r="E3401" s="30"/>
    </row>
    <row r="3402" spans="3:5" x14ac:dyDescent="0.4">
      <c r="C3402" s="31"/>
      <c r="E3402" s="30"/>
    </row>
    <row r="3403" spans="3:5" x14ac:dyDescent="0.4">
      <c r="C3403" s="31"/>
      <c r="E3403" s="30"/>
    </row>
    <row r="3404" spans="3:5" x14ac:dyDescent="0.4">
      <c r="C3404" s="31"/>
      <c r="E3404" s="30"/>
    </row>
    <row r="3405" spans="3:5" x14ac:dyDescent="0.4">
      <c r="C3405" s="31"/>
      <c r="E3405" s="30"/>
    </row>
    <row r="3406" spans="3:5" x14ac:dyDescent="0.4">
      <c r="C3406" s="31"/>
      <c r="E3406" s="30"/>
    </row>
    <row r="3407" spans="3:5" x14ac:dyDescent="0.4">
      <c r="C3407" s="31"/>
      <c r="E3407" s="30"/>
    </row>
    <row r="3408" spans="3:5" x14ac:dyDescent="0.4">
      <c r="C3408" s="31"/>
      <c r="E3408" s="30"/>
    </row>
    <row r="3409" spans="3:5" x14ac:dyDescent="0.4">
      <c r="C3409" s="31"/>
      <c r="E3409" s="30"/>
    </row>
    <row r="3410" spans="3:5" x14ac:dyDescent="0.4">
      <c r="C3410" s="31"/>
      <c r="E3410" s="30"/>
    </row>
    <row r="3411" spans="3:5" x14ac:dyDescent="0.4">
      <c r="C3411" s="31"/>
      <c r="E3411" s="30"/>
    </row>
    <row r="3412" spans="3:5" x14ac:dyDescent="0.4">
      <c r="C3412" s="31"/>
      <c r="E3412" s="30"/>
    </row>
    <row r="3413" spans="3:5" x14ac:dyDescent="0.4">
      <c r="C3413" s="31"/>
      <c r="E3413" s="30"/>
    </row>
    <row r="3414" spans="3:5" x14ac:dyDescent="0.4">
      <c r="C3414" s="31"/>
      <c r="E3414" s="30"/>
    </row>
    <row r="3415" spans="3:5" x14ac:dyDescent="0.4">
      <c r="C3415" s="31"/>
      <c r="E3415" s="30"/>
    </row>
    <row r="3416" spans="3:5" x14ac:dyDescent="0.4">
      <c r="C3416" s="31"/>
      <c r="E3416" s="30"/>
    </row>
    <row r="3417" spans="3:5" x14ac:dyDescent="0.4">
      <c r="C3417" s="31"/>
      <c r="E3417" s="30"/>
    </row>
    <row r="3418" spans="3:5" x14ac:dyDescent="0.4">
      <c r="C3418" s="31"/>
      <c r="E3418" s="30"/>
    </row>
    <row r="3419" spans="3:5" x14ac:dyDescent="0.4">
      <c r="C3419" s="31"/>
      <c r="E3419" s="30"/>
    </row>
    <row r="3420" spans="3:5" x14ac:dyDescent="0.4">
      <c r="C3420" s="31"/>
      <c r="E3420" s="30"/>
    </row>
    <row r="3421" spans="3:5" x14ac:dyDescent="0.4">
      <c r="C3421" s="31"/>
      <c r="E3421" s="30"/>
    </row>
    <row r="3422" spans="3:5" x14ac:dyDescent="0.4">
      <c r="C3422" s="31"/>
      <c r="E3422" s="30"/>
    </row>
    <row r="3423" spans="3:5" x14ac:dyDescent="0.4">
      <c r="C3423" s="31"/>
      <c r="E3423" s="30"/>
    </row>
    <row r="3424" spans="3:5" x14ac:dyDescent="0.4">
      <c r="C3424" s="31"/>
      <c r="E3424" s="30"/>
    </row>
    <row r="3425" spans="3:5" x14ac:dyDescent="0.4">
      <c r="C3425" s="31"/>
      <c r="E3425" s="30"/>
    </row>
    <row r="3426" spans="3:5" x14ac:dyDescent="0.4">
      <c r="C3426" s="31"/>
      <c r="E3426" s="30"/>
    </row>
    <row r="3427" spans="3:5" x14ac:dyDescent="0.4">
      <c r="C3427" s="31"/>
      <c r="E3427" s="30"/>
    </row>
    <row r="3428" spans="3:5" x14ac:dyDescent="0.4">
      <c r="C3428" s="31"/>
      <c r="E3428" s="30"/>
    </row>
    <row r="3429" spans="3:5" x14ac:dyDescent="0.4">
      <c r="C3429" s="31"/>
      <c r="E3429" s="30"/>
    </row>
    <row r="3430" spans="3:5" x14ac:dyDescent="0.4">
      <c r="C3430" s="31"/>
      <c r="E3430" s="30"/>
    </row>
    <row r="3431" spans="3:5" x14ac:dyDescent="0.4">
      <c r="C3431" s="31"/>
      <c r="E3431" s="30"/>
    </row>
    <row r="3432" spans="3:5" x14ac:dyDescent="0.4">
      <c r="C3432" s="31"/>
      <c r="E3432" s="30"/>
    </row>
    <row r="3433" spans="3:5" x14ac:dyDescent="0.4">
      <c r="C3433" s="31"/>
      <c r="E3433" s="30"/>
    </row>
    <row r="3434" spans="3:5" x14ac:dyDescent="0.4">
      <c r="C3434" s="31"/>
      <c r="E3434" s="30"/>
    </row>
    <row r="3435" spans="3:5" x14ac:dyDescent="0.4">
      <c r="C3435" s="31"/>
      <c r="E3435" s="30"/>
    </row>
    <row r="3436" spans="3:5" x14ac:dyDescent="0.4">
      <c r="C3436" s="31"/>
      <c r="E3436" s="30"/>
    </row>
    <row r="3437" spans="3:5" x14ac:dyDescent="0.4">
      <c r="C3437" s="31"/>
      <c r="E3437" s="30"/>
    </row>
    <row r="3438" spans="3:5" x14ac:dyDescent="0.4">
      <c r="C3438" s="31"/>
      <c r="E3438" s="30"/>
    </row>
    <row r="3439" spans="3:5" x14ac:dyDescent="0.4">
      <c r="C3439" s="31"/>
      <c r="E3439" s="30"/>
    </row>
    <row r="3440" spans="3:5" x14ac:dyDescent="0.4">
      <c r="C3440" s="31"/>
      <c r="E3440" s="30"/>
    </row>
    <row r="3441" spans="3:5" x14ac:dyDescent="0.4">
      <c r="C3441" s="31"/>
      <c r="E3441" s="30"/>
    </row>
    <row r="3442" spans="3:5" x14ac:dyDescent="0.4">
      <c r="C3442" s="31"/>
      <c r="E3442" s="30"/>
    </row>
    <row r="3443" spans="3:5" x14ac:dyDescent="0.4">
      <c r="C3443" s="31"/>
      <c r="E3443" s="30"/>
    </row>
    <row r="3444" spans="3:5" x14ac:dyDescent="0.4">
      <c r="C3444" s="31"/>
      <c r="E3444" s="30"/>
    </row>
    <row r="3445" spans="3:5" x14ac:dyDescent="0.4">
      <c r="C3445" s="31"/>
      <c r="E3445" s="30"/>
    </row>
    <row r="3446" spans="3:5" x14ac:dyDescent="0.4">
      <c r="C3446" s="31"/>
      <c r="E3446" s="30"/>
    </row>
    <row r="3447" spans="3:5" x14ac:dyDescent="0.4">
      <c r="C3447" s="31"/>
      <c r="E3447" s="30"/>
    </row>
    <row r="3448" spans="3:5" x14ac:dyDescent="0.4">
      <c r="C3448" s="31"/>
      <c r="E3448" s="30"/>
    </row>
    <row r="3449" spans="3:5" x14ac:dyDescent="0.4">
      <c r="C3449" s="31"/>
      <c r="E3449" s="30"/>
    </row>
    <row r="3450" spans="3:5" x14ac:dyDescent="0.4">
      <c r="C3450" s="31"/>
      <c r="E3450" s="30"/>
    </row>
    <row r="3451" spans="3:5" x14ac:dyDescent="0.4">
      <c r="C3451" s="31"/>
      <c r="E3451" s="30"/>
    </row>
    <row r="3452" spans="3:5" x14ac:dyDescent="0.4">
      <c r="C3452" s="31"/>
      <c r="E3452" s="30"/>
    </row>
    <row r="3453" spans="3:5" x14ac:dyDescent="0.4">
      <c r="C3453" s="31"/>
      <c r="E3453" s="30"/>
    </row>
    <row r="3454" spans="3:5" x14ac:dyDescent="0.4">
      <c r="C3454" s="31"/>
      <c r="E3454" s="30"/>
    </row>
    <row r="3455" spans="3:5" x14ac:dyDescent="0.4">
      <c r="C3455" s="31"/>
      <c r="E3455" s="30"/>
    </row>
    <row r="3456" spans="3:5" x14ac:dyDescent="0.4">
      <c r="C3456" s="31"/>
      <c r="E3456" s="30"/>
    </row>
    <row r="3457" spans="3:5" x14ac:dyDescent="0.4">
      <c r="C3457" s="31"/>
      <c r="E3457" s="30"/>
    </row>
    <row r="3458" spans="3:5" x14ac:dyDescent="0.4">
      <c r="C3458" s="31"/>
      <c r="E3458" s="30"/>
    </row>
    <row r="3459" spans="3:5" x14ac:dyDescent="0.4">
      <c r="C3459" s="31"/>
      <c r="E3459" s="30"/>
    </row>
    <row r="3460" spans="3:5" x14ac:dyDescent="0.4">
      <c r="C3460" s="31"/>
      <c r="E3460" s="30"/>
    </row>
    <row r="3461" spans="3:5" x14ac:dyDescent="0.4">
      <c r="C3461" s="31"/>
      <c r="E3461" s="30"/>
    </row>
    <row r="3462" spans="3:5" x14ac:dyDescent="0.4">
      <c r="C3462" s="31"/>
      <c r="E3462" s="30"/>
    </row>
    <row r="3463" spans="3:5" x14ac:dyDescent="0.4">
      <c r="C3463" s="31"/>
      <c r="E3463" s="30"/>
    </row>
    <row r="3464" spans="3:5" x14ac:dyDescent="0.4">
      <c r="C3464" s="31"/>
      <c r="E3464" s="30"/>
    </row>
    <row r="3465" spans="3:5" x14ac:dyDescent="0.4">
      <c r="C3465" s="31"/>
      <c r="E3465" s="30"/>
    </row>
    <row r="3466" spans="3:5" x14ac:dyDescent="0.4">
      <c r="C3466" s="31"/>
      <c r="E3466" s="30"/>
    </row>
    <row r="3467" spans="3:5" x14ac:dyDescent="0.4">
      <c r="C3467" s="31"/>
      <c r="E3467" s="30"/>
    </row>
    <row r="3468" spans="3:5" x14ac:dyDescent="0.4">
      <c r="C3468" s="31"/>
      <c r="E3468" s="30"/>
    </row>
    <row r="3469" spans="3:5" x14ac:dyDescent="0.4">
      <c r="C3469" s="31"/>
      <c r="E3469" s="30"/>
    </row>
    <row r="3470" spans="3:5" x14ac:dyDescent="0.4">
      <c r="C3470" s="31"/>
      <c r="E3470" s="30"/>
    </row>
    <row r="3471" spans="3:5" x14ac:dyDescent="0.4">
      <c r="C3471" s="31"/>
      <c r="E3471" s="30"/>
    </row>
    <row r="3472" spans="3:5" x14ac:dyDescent="0.4">
      <c r="C3472" s="31"/>
      <c r="E3472" s="30"/>
    </row>
    <row r="3473" spans="3:5" x14ac:dyDescent="0.4">
      <c r="C3473" s="31"/>
      <c r="E3473" s="30"/>
    </row>
    <row r="3474" spans="3:5" x14ac:dyDescent="0.4">
      <c r="C3474" s="31"/>
      <c r="E3474" s="30"/>
    </row>
    <row r="3475" spans="3:5" x14ac:dyDescent="0.4">
      <c r="C3475" s="31"/>
      <c r="E3475" s="30"/>
    </row>
    <row r="3476" spans="3:5" x14ac:dyDescent="0.4">
      <c r="C3476" s="31"/>
      <c r="E3476" s="30"/>
    </row>
    <row r="3477" spans="3:5" x14ac:dyDescent="0.4">
      <c r="C3477" s="31"/>
      <c r="E3477" s="30"/>
    </row>
    <row r="3478" spans="3:5" x14ac:dyDescent="0.4">
      <c r="C3478" s="31"/>
      <c r="E3478" s="30"/>
    </row>
    <row r="3479" spans="3:5" x14ac:dyDescent="0.4">
      <c r="C3479" s="31"/>
      <c r="E3479" s="30"/>
    </row>
    <row r="3480" spans="3:5" x14ac:dyDescent="0.4">
      <c r="C3480" s="31"/>
      <c r="E3480" s="30"/>
    </row>
    <row r="3481" spans="3:5" x14ac:dyDescent="0.4">
      <c r="C3481" s="31"/>
      <c r="E3481" s="30"/>
    </row>
    <row r="3482" spans="3:5" x14ac:dyDescent="0.4">
      <c r="C3482" s="31"/>
      <c r="E3482" s="30"/>
    </row>
    <row r="3483" spans="3:5" x14ac:dyDescent="0.4">
      <c r="C3483" s="31"/>
      <c r="E3483" s="30"/>
    </row>
    <row r="3484" spans="3:5" x14ac:dyDescent="0.4">
      <c r="C3484" s="31"/>
      <c r="E3484" s="30"/>
    </row>
    <row r="3485" spans="3:5" x14ac:dyDescent="0.4">
      <c r="C3485" s="31"/>
      <c r="E3485" s="30"/>
    </row>
    <row r="3486" spans="3:5" x14ac:dyDescent="0.4">
      <c r="C3486" s="31"/>
      <c r="E3486" s="30"/>
    </row>
    <row r="3487" spans="3:5" x14ac:dyDescent="0.4">
      <c r="C3487" s="31"/>
      <c r="E3487" s="30"/>
    </row>
    <row r="3488" spans="3:5" x14ac:dyDescent="0.4">
      <c r="C3488" s="31"/>
      <c r="E3488" s="30"/>
    </row>
    <row r="3489" spans="3:5" x14ac:dyDescent="0.4">
      <c r="C3489" s="31"/>
      <c r="E3489" s="30"/>
    </row>
    <row r="3490" spans="3:5" x14ac:dyDescent="0.4">
      <c r="C3490" s="31"/>
      <c r="E3490" s="30"/>
    </row>
    <row r="3491" spans="3:5" x14ac:dyDescent="0.4">
      <c r="C3491" s="31"/>
      <c r="E3491" s="30"/>
    </row>
    <row r="3492" spans="3:5" x14ac:dyDescent="0.4">
      <c r="C3492" s="31"/>
      <c r="E3492" s="30"/>
    </row>
    <row r="3493" spans="3:5" x14ac:dyDescent="0.4">
      <c r="C3493" s="31"/>
      <c r="E3493" s="30"/>
    </row>
    <row r="3494" spans="3:5" x14ac:dyDescent="0.4">
      <c r="C3494" s="31"/>
      <c r="E3494" s="30"/>
    </row>
    <row r="3495" spans="3:5" x14ac:dyDescent="0.4">
      <c r="C3495" s="31"/>
      <c r="E3495" s="30"/>
    </row>
    <row r="3496" spans="3:5" x14ac:dyDescent="0.4">
      <c r="C3496" s="31"/>
      <c r="E3496" s="30"/>
    </row>
    <row r="3497" spans="3:5" x14ac:dyDescent="0.4">
      <c r="C3497" s="31"/>
      <c r="E3497" s="30"/>
    </row>
    <row r="3498" spans="3:5" x14ac:dyDescent="0.4">
      <c r="C3498" s="31"/>
      <c r="E3498" s="30"/>
    </row>
    <row r="3499" spans="3:5" x14ac:dyDescent="0.4">
      <c r="C3499" s="31"/>
      <c r="E3499" s="30"/>
    </row>
    <row r="3500" spans="3:5" x14ac:dyDescent="0.4">
      <c r="C3500" s="31"/>
      <c r="E3500" s="30"/>
    </row>
    <row r="3501" spans="3:5" x14ac:dyDescent="0.4">
      <c r="C3501" s="31"/>
      <c r="E3501" s="30"/>
    </row>
    <row r="3502" spans="3:5" x14ac:dyDescent="0.4">
      <c r="C3502" s="31"/>
      <c r="E3502" s="30"/>
    </row>
    <row r="3503" spans="3:5" x14ac:dyDescent="0.4">
      <c r="C3503" s="31"/>
      <c r="E3503" s="30"/>
    </row>
    <row r="3504" spans="3:5" x14ac:dyDescent="0.4">
      <c r="C3504" s="31"/>
      <c r="E3504" s="30"/>
    </row>
    <row r="3505" spans="3:5" x14ac:dyDescent="0.4">
      <c r="C3505" s="31"/>
      <c r="E3505" s="30"/>
    </row>
    <row r="3506" spans="3:5" x14ac:dyDescent="0.4">
      <c r="C3506" s="31"/>
      <c r="E3506" s="30"/>
    </row>
    <row r="3507" spans="3:5" x14ac:dyDescent="0.4">
      <c r="C3507" s="31"/>
      <c r="E3507" s="30"/>
    </row>
    <row r="3508" spans="3:5" x14ac:dyDescent="0.4">
      <c r="C3508" s="31"/>
      <c r="E3508" s="30"/>
    </row>
    <row r="3509" spans="3:5" x14ac:dyDescent="0.4">
      <c r="C3509" s="31"/>
      <c r="E3509" s="30"/>
    </row>
    <row r="3510" spans="3:5" x14ac:dyDescent="0.4">
      <c r="C3510" s="31"/>
      <c r="E3510" s="30"/>
    </row>
    <row r="3511" spans="3:5" x14ac:dyDescent="0.4">
      <c r="C3511" s="31"/>
      <c r="E3511" s="30"/>
    </row>
    <row r="3512" spans="3:5" x14ac:dyDescent="0.4">
      <c r="C3512" s="31"/>
      <c r="E3512" s="30"/>
    </row>
    <row r="3513" spans="3:5" x14ac:dyDescent="0.4">
      <c r="C3513" s="31"/>
      <c r="E3513" s="30"/>
    </row>
    <row r="3514" spans="3:5" x14ac:dyDescent="0.4">
      <c r="C3514" s="31"/>
      <c r="E3514" s="30"/>
    </row>
    <row r="3515" spans="3:5" x14ac:dyDescent="0.4">
      <c r="C3515" s="31"/>
      <c r="E3515" s="30"/>
    </row>
    <row r="3516" spans="3:5" x14ac:dyDescent="0.4">
      <c r="C3516" s="31"/>
      <c r="E3516" s="30"/>
    </row>
    <row r="3517" spans="3:5" x14ac:dyDescent="0.4">
      <c r="C3517" s="31"/>
      <c r="E3517" s="30"/>
    </row>
    <row r="3518" spans="3:5" x14ac:dyDescent="0.4">
      <c r="C3518" s="31"/>
      <c r="E3518" s="30"/>
    </row>
    <row r="3519" spans="3:5" x14ac:dyDescent="0.4">
      <c r="C3519" s="31"/>
      <c r="E3519" s="30"/>
    </row>
    <row r="3520" spans="3:5" x14ac:dyDescent="0.4">
      <c r="C3520" s="31"/>
      <c r="E3520" s="30"/>
    </row>
    <row r="3521" spans="3:5" x14ac:dyDescent="0.4">
      <c r="C3521" s="31"/>
      <c r="E3521" s="30"/>
    </row>
    <row r="3522" spans="3:5" x14ac:dyDescent="0.4">
      <c r="C3522" s="31"/>
      <c r="E3522" s="30"/>
    </row>
    <row r="3523" spans="3:5" x14ac:dyDescent="0.4">
      <c r="C3523" s="31"/>
      <c r="E3523" s="30"/>
    </row>
    <row r="3524" spans="3:5" x14ac:dyDescent="0.4">
      <c r="C3524" s="31"/>
      <c r="E3524" s="30"/>
    </row>
    <row r="3525" spans="3:5" x14ac:dyDescent="0.4">
      <c r="C3525" s="31"/>
      <c r="E3525" s="30"/>
    </row>
    <row r="3526" spans="3:5" x14ac:dyDescent="0.4">
      <c r="C3526" s="31"/>
      <c r="E3526" s="30"/>
    </row>
    <row r="3527" spans="3:5" x14ac:dyDescent="0.4">
      <c r="C3527" s="31"/>
      <c r="E3527" s="30"/>
    </row>
    <row r="3528" spans="3:5" x14ac:dyDescent="0.4">
      <c r="C3528" s="31"/>
      <c r="E3528" s="30"/>
    </row>
    <row r="3529" spans="3:5" x14ac:dyDescent="0.4">
      <c r="C3529" s="31"/>
      <c r="E3529" s="30"/>
    </row>
    <row r="3530" spans="3:5" x14ac:dyDescent="0.4">
      <c r="C3530" s="31"/>
      <c r="E3530" s="30"/>
    </row>
    <row r="3531" spans="3:5" x14ac:dyDescent="0.4">
      <c r="C3531" s="31"/>
      <c r="E3531" s="30"/>
    </row>
    <row r="3532" spans="3:5" x14ac:dyDescent="0.4">
      <c r="C3532" s="31"/>
      <c r="E3532" s="30"/>
    </row>
    <row r="3533" spans="3:5" x14ac:dyDescent="0.4">
      <c r="C3533" s="31"/>
      <c r="E3533" s="30"/>
    </row>
    <row r="3534" spans="3:5" x14ac:dyDescent="0.4">
      <c r="C3534" s="31"/>
      <c r="E3534" s="30"/>
    </row>
    <row r="3535" spans="3:5" x14ac:dyDescent="0.4">
      <c r="C3535" s="31"/>
      <c r="E3535" s="30"/>
    </row>
    <row r="3536" spans="3:5" x14ac:dyDescent="0.4">
      <c r="C3536" s="31"/>
      <c r="E3536" s="30"/>
    </row>
    <row r="3537" spans="3:5" x14ac:dyDescent="0.4">
      <c r="C3537" s="31"/>
      <c r="E3537" s="30"/>
    </row>
    <row r="3538" spans="3:5" x14ac:dyDescent="0.4">
      <c r="C3538" s="31"/>
      <c r="E3538" s="30"/>
    </row>
    <row r="3539" spans="3:5" x14ac:dyDescent="0.4">
      <c r="C3539" s="31"/>
      <c r="E3539" s="30"/>
    </row>
    <row r="3540" spans="3:5" x14ac:dyDescent="0.4">
      <c r="C3540" s="31"/>
      <c r="E3540" s="30"/>
    </row>
    <row r="3541" spans="3:5" x14ac:dyDescent="0.4">
      <c r="C3541" s="31"/>
      <c r="E3541" s="30"/>
    </row>
    <row r="3542" spans="3:5" x14ac:dyDescent="0.4">
      <c r="C3542" s="31"/>
      <c r="E3542" s="30"/>
    </row>
    <row r="3543" spans="3:5" x14ac:dyDescent="0.4">
      <c r="C3543" s="31"/>
      <c r="E3543" s="30"/>
    </row>
    <row r="3544" spans="3:5" x14ac:dyDescent="0.4">
      <c r="C3544" s="31"/>
      <c r="E3544" s="30"/>
    </row>
    <row r="3545" spans="3:5" x14ac:dyDescent="0.4">
      <c r="C3545" s="31"/>
      <c r="E3545" s="30"/>
    </row>
    <row r="3546" spans="3:5" x14ac:dyDescent="0.4">
      <c r="C3546" s="31"/>
      <c r="E3546" s="30"/>
    </row>
    <row r="3547" spans="3:5" x14ac:dyDescent="0.4">
      <c r="C3547" s="31"/>
      <c r="E3547" s="30"/>
    </row>
    <row r="3548" spans="3:5" x14ac:dyDescent="0.4">
      <c r="C3548" s="31"/>
      <c r="E3548" s="30"/>
    </row>
    <row r="3549" spans="3:5" x14ac:dyDescent="0.4">
      <c r="C3549" s="31"/>
      <c r="E3549" s="30"/>
    </row>
    <row r="3550" spans="3:5" x14ac:dyDescent="0.4">
      <c r="C3550" s="31"/>
      <c r="E3550" s="30"/>
    </row>
    <row r="3551" spans="3:5" x14ac:dyDescent="0.4">
      <c r="C3551" s="31"/>
      <c r="E3551" s="30"/>
    </row>
    <row r="3552" spans="3:5" x14ac:dyDescent="0.4">
      <c r="C3552" s="31"/>
      <c r="E3552" s="30"/>
    </row>
    <row r="3553" spans="3:5" x14ac:dyDescent="0.4">
      <c r="C3553" s="31"/>
      <c r="E3553" s="30"/>
    </row>
    <row r="3554" spans="3:5" x14ac:dyDescent="0.4">
      <c r="C3554" s="31"/>
      <c r="E3554" s="30"/>
    </row>
    <row r="3555" spans="3:5" x14ac:dyDescent="0.4">
      <c r="C3555" s="31"/>
      <c r="E3555" s="30"/>
    </row>
    <row r="3556" spans="3:5" x14ac:dyDescent="0.4">
      <c r="C3556" s="31"/>
      <c r="E3556" s="30"/>
    </row>
    <row r="3557" spans="3:5" x14ac:dyDescent="0.4">
      <c r="C3557" s="31"/>
      <c r="E3557" s="30"/>
    </row>
    <row r="3558" spans="3:5" x14ac:dyDescent="0.4">
      <c r="C3558" s="31"/>
      <c r="E3558" s="30"/>
    </row>
    <row r="3559" spans="3:5" x14ac:dyDescent="0.4">
      <c r="C3559" s="31"/>
      <c r="E3559" s="30"/>
    </row>
    <row r="3560" spans="3:5" x14ac:dyDescent="0.4">
      <c r="C3560" s="31"/>
      <c r="E3560" s="30"/>
    </row>
    <row r="3561" spans="3:5" x14ac:dyDescent="0.4">
      <c r="C3561" s="31"/>
      <c r="E3561" s="30"/>
    </row>
    <row r="3562" spans="3:5" x14ac:dyDescent="0.4">
      <c r="C3562" s="31"/>
      <c r="E3562" s="30"/>
    </row>
    <row r="3563" spans="3:5" x14ac:dyDescent="0.4">
      <c r="C3563" s="31"/>
      <c r="E3563" s="30"/>
    </row>
    <row r="3564" spans="3:5" x14ac:dyDescent="0.4">
      <c r="C3564" s="31"/>
      <c r="E3564" s="30"/>
    </row>
    <row r="3565" spans="3:5" x14ac:dyDescent="0.4">
      <c r="C3565" s="31"/>
      <c r="E3565" s="30"/>
    </row>
    <row r="3566" spans="3:5" x14ac:dyDescent="0.4">
      <c r="C3566" s="31"/>
      <c r="E3566" s="30"/>
    </row>
    <row r="3567" spans="3:5" x14ac:dyDescent="0.4">
      <c r="C3567" s="31"/>
      <c r="E3567" s="30"/>
    </row>
    <row r="3568" spans="3:5" x14ac:dyDescent="0.4">
      <c r="C3568" s="31"/>
      <c r="E3568" s="30"/>
    </row>
    <row r="3569" spans="3:5" x14ac:dyDescent="0.4">
      <c r="C3569" s="31"/>
      <c r="E3569" s="30"/>
    </row>
    <row r="3570" spans="3:5" x14ac:dyDescent="0.4">
      <c r="C3570" s="31"/>
      <c r="E3570" s="30"/>
    </row>
    <row r="3571" spans="3:5" x14ac:dyDescent="0.4">
      <c r="C3571" s="31"/>
      <c r="E3571" s="30"/>
    </row>
    <row r="3572" spans="3:5" x14ac:dyDescent="0.4">
      <c r="C3572" s="31"/>
      <c r="E3572" s="30"/>
    </row>
    <row r="3573" spans="3:5" x14ac:dyDescent="0.4">
      <c r="C3573" s="31"/>
      <c r="E3573" s="30"/>
    </row>
    <row r="3574" spans="3:5" x14ac:dyDescent="0.4">
      <c r="C3574" s="31"/>
      <c r="E3574" s="30"/>
    </row>
    <row r="3575" spans="3:5" x14ac:dyDescent="0.4">
      <c r="C3575" s="31"/>
      <c r="E3575" s="30"/>
    </row>
    <row r="3576" spans="3:5" x14ac:dyDescent="0.4">
      <c r="C3576" s="31"/>
      <c r="E3576" s="30"/>
    </row>
    <row r="3577" spans="3:5" x14ac:dyDescent="0.4">
      <c r="C3577" s="31"/>
      <c r="E3577" s="30"/>
    </row>
    <row r="3578" spans="3:5" x14ac:dyDescent="0.4">
      <c r="C3578" s="31"/>
      <c r="E3578" s="30"/>
    </row>
    <row r="3579" spans="3:5" x14ac:dyDescent="0.4">
      <c r="C3579" s="31"/>
      <c r="E3579" s="30"/>
    </row>
    <row r="3580" spans="3:5" x14ac:dyDescent="0.4">
      <c r="C3580" s="31"/>
      <c r="E3580" s="30"/>
    </row>
    <row r="3581" spans="3:5" x14ac:dyDescent="0.4">
      <c r="C3581" s="31"/>
      <c r="E3581" s="30"/>
    </row>
    <row r="3582" spans="3:5" x14ac:dyDescent="0.4">
      <c r="C3582" s="31"/>
      <c r="E3582" s="30"/>
    </row>
    <row r="3583" spans="3:5" x14ac:dyDescent="0.4">
      <c r="C3583" s="31"/>
      <c r="E3583" s="30"/>
    </row>
    <row r="3584" spans="3:5" x14ac:dyDescent="0.4">
      <c r="C3584" s="31"/>
      <c r="E3584" s="30"/>
    </row>
    <row r="3585" spans="3:5" x14ac:dyDescent="0.4">
      <c r="C3585" s="31"/>
      <c r="E3585" s="30"/>
    </row>
    <row r="3586" spans="3:5" x14ac:dyDescent="0.4">
      <c r="C3586" s="31"/>
      <c r="E3586" s="30"/>
    </row>
    <row r="3587" spans="3:5" x14ac:dyDescent="0.4">
      <c r="C3587" s="31"/>
      <c r="E3587" s="30"/>
    </row>
    <row r="3588" spans="3:5" x14ac:dyDescent="0.4">
      <c r="C3588" s="31"/>
      <c r="E3588" s="30"/>
    </row>
    <row r="3589" spans="3:5" x14ac:dyDescent="0.4">
      <c r="C3589" s="31"/>
      <c r="E3589" s="30"/>
    </row>
    <row r="3590" spans="3:5" x14ac:dyDescent="0.4">
      <c r="C3590" s="31"/>
      <c r="E3590" s="30"/>
    </row>
    <row r="3591" spans="3:5" x14ac:dyDescent="0.4">
      <c r="C3591" s="31"/>
      <c r="E3591" s="30"/>
    </row>
    <row r="3592" spans="3:5" x14ac:dyDescent="0.4">
      <c r="C3592" s="31"/>
      <c r="E3592" s="30"/>
    </row>
    <row r="3593" spans="3:5" x14ac:dyDescent="0.4">
      <c r="C3593" s="31"/>
      <c r="E3593" s="30"/>
    </row>
    <row r="3594" spans="3:5" x14ac:dyDescent="0.4">
      <c r="C3594" s="31"/>
      <c r="E3594" s="30"/>
    </row>
    <row r="3595" spans="3:5" x14ac:dyDescent="0.4">
      <c r="C3595" s="31"/>
      <c r="E3595" s="30"/>
    </row>
    <row r="3596" spans="3:5" x14ac:dyDescent="0.4">
      <c r="C3596" s="31"/>
      <c r="E3596" s="30"/>
    </row>
    <row r="3597" spans="3:5" x14ac:dyDescent="0.4">
      <c r="C3597" s="31"/>
      <c r="E3597" s="30"/>
    </row>
    <row r="3598" spans="3:5" x14ac:dyDescent="0.4">
      <c r="C3598" s="31"/>
      <c r="E3598" s="30"/>
    </row>
    <row r="3599" spans="3:5" x14ac:dyDescent="0.4">
      <c r="C3599" s="31"/>
      <c r="E3599" s="30"/>
    </row>
    <row r="3600" spans="3:5" x14ac:dyDescent="0.4">
      <c r="C3600" s="31"/>
      <c r="E3600" s="30"/>
    </row>
    <row r="3601" spans="3:5" x14ac:dyDescent="0.4">
      <c r="C3601" s="31"/>
      <c r="E3601" s="30"/>
    </row>
    <row r="3602" spans="3:5" x14ac:dyDescent="0.4">
      <c r="C3602" s="31"/>
      <c r="E3602" s="30"/>
    </row>
    <row r="3603" spans="3:5" x14ac:dyDescent="0.4">
      <c r="C3603" s="31"/>
      <c r="E3603" s="30"/>
    </row>
    <row r="3604" spans="3:5" x14ac:dyDescent="0.4">
      <c r="C3604" s="31"/>
      <c r="E3604" s="30"/>
    </row>
    <row r="3605" spans="3:5" x14ac:dyDescent="0.4">
      <c r="C3605" s="31"/>
      <c r="E3605" s="30"/>
    </row>
    <row r="3606" spans="3:5" x14ac:dyDescent="0.4">
      <c r="C3606" s="31"/>
      <c r="E3606" s="30"/>
    </row>
    <row r="3607" spans="3:5" x14ac:dyDescent="0.4">
      <c r="C3607" s="31"/>
      <c r="E3607" s="30"/>
    </row>
    <row r="3608" spans="3:5" x14ac:dyDescent="0.4">
      <c r="C3608" s="31"/>
      <c r="E3608" s="30"/>
    </row>
    <row r="3609" spans="3:5" x14ac:dyDescent="0.4">
      <c r="C3609" s="31"/>
      <c r="E3609" s="30"/>
    </row>
    <row r="3610" spans="3:5" x14ac:dyDescent="0.4">
      <c r="C3610" s="31"/>
      <c r="E3610" s="30"/>
    </row>
    <row r="3611" spans="3:5" x14ac:dyDescent="0.4">
      <c r="C3611" s="31"/>
      <c r="E3611" s="30"/>
    </row>
    <row r="3612" spans="3:5" x14ac:dyDescent="0.4">
      <c r="C3612" s="31"/>
      <c r="E3612" s="30"/>
    </row>
    <row r="3613" spans="3:5" x14ac:dyDescent="0.4">
      <c r="C3613" s="31"/>
      <c r="E3613" s="30"/>
    </row>
    <row r="3614" spans="3:5" x14ac:dyDescent="0.4">
      <c r="C3614" s="31"/>
      <c r="E3614" s="30"/>
    </row>
    <row r="3615" spans="3:5" x14ac:dyDescent="0.4">
      <c r="C3615" s="31"/>
      <c r="E3615" s="30"/>
    </row>
    <row r="3616" spans="3:5" x14ac:dyDescent="0.4">
      <c r="C3616" s="31"/>
      <c r="E3616" s="30"/>
    </row>
    <row r="3617" spans="3:5" x14ac:dyDescent="0.4">
      <c r="C3617" s="31"/>
      <c r="E3617" s="30"/>
    </row>
    <row r="3618" spans="3:5" x14ac:dyDescent="0.4">
      <c r="C3618" s="31"/>
      <c r="E3618" s="30"/>
    </row>
    <row r="3619" spans="3:5" x14ac:dyDescent="0.4">
      <c r="C3619" s="31"/>
      <c r="E3619" s="30"/>
    </row>
    <row r="3620" spans="3:5" x14ac:dyDescent="0.4">
      <c r="C3620" s="31"/>
      <c r="E3620" s="30"/>
    </row>
    <row r="3621" spans="3:5" x14ac:dyDescent="0.4">
      <c r="C3621" s="31"/>
      <c r="E3621" s="30"/>
    </row>
    <row r="3622" spans="3:5" x14ac:dyDescent="0.4">
      <c r="C3622" s="31"/>
      <c r="E3622" s="30"/>
    </row>
    <row r="3623" spans="3:5" x14ac:dyDescent="0.4">
      <c r="C3623" s="31"/>
      <c r="E3623" s="30"/>
    </row>
    <row r="3624" spans="3:5" x14ac:dyDescent="0.4">
      <c r="C3624" s="31"/>
      <c r="E3624" s="30"/>
    </row>
    <row r="3625" spans="3:5" x14ac:dyDescent="0.4">
      <c r="C3625" s="31"/>
      <c r="E3625" s="30"/>
    </row>
    <row r="3626" spans="3:5" x14ac:dyDescent="0.4">
      <c r="C3626" s="31"/>
      <c r="E3626" s="30"/>
    </row>
    <row r="3627" spans="3:5" x14ac:dyDescent="0.4">
      <c r="C3627" s="31"/>
      <c r="E3627" s="30"/>
    </row>
    <row r="3628" spans="3:5" x14ac:dyDescent="0.4">
      <c r="C3628" s="31"/>
      <c r="E3628" s="30"/>
    </row>
    <row r="3629" spans="3:5" x14ac:dyDescent="0.4">
      <c r="C3629" s="31"/>
      <c r="E3629" s="30"/>
    </row>
    <row r="3630" spans="3:5" x14ac:dyDescent="0.4">
      <c r="C3630" s="31"/>
      <c r="E3630" s="30"/>
    </row>
    <row r="3631" spans="3:5" x14ac:dyDescent="0.4">
      <c r="C3631" s="31"/>
      <c r="E3631" s="30"/>
    </row>
    <row r="3632" spans="3:5" x14ac:dyDescent="0.4">
      <c r="C3632" s="31"/>
      <c r="E3632" s="30"/>
    </row>
    <row r="3633" spans="3:5" x14ac:dyDescent="0.4">
      <c r="C3633" s="31"/>
      <c r="E3633" s="30"/>
    </row>
    <row r="3634" spans="3:5" x14ac:dyDescent="0.4">
      <c r="C3634" s="31"/>
      <c r="E3634" s="30"/>
    </row>
    <row r="3635" spans="3:5" x14ac:dyDescent="0.4">
      <c r="C3635" s="31"/>
      <c r="E3635" s="30"/>
    </row>
    <row r="3636" spans="3:5" x14ac:dyDescent="0.4">
      <c r="C3636" s="31"/>
      <c r="E3636" s="30"/>
    </row>
    <row r="3637" spans="3:5" x14ac:dyDescent="0.4">
      <c r="C3637" s="31"/>
      <c r="E3637" s="30"/>
    </row>
    <row r="3638" spans="3:5" x14ac:dyDescent="0.4">
      <c r="C3638" s="31"/>
      <c r="E3638" s="30"/>
    </row>
    <row r="3639" spans="3:5" x14ac:dyDescent="0.4">
      <c r="C3639" s="31"/>
      <c r="E3639" s="30"/>
    </row>
    <row r="3640" spans="3:5" x14ac:dyDescent="0.4">
      <c r="C3640" s="31"/>
      <c r="E3640" s="30"/>
    </row>
    <row r="3641" spans="3:5" x14ac:dyDescent="0.4">
      <c r="C3641" s="31"/>
      <c r="E3641" s="30"/>
    </row>
    <row r="3642" spans="3:5" x14ac:dyDescent="0.4">
      <c r="C3642" s="31"/>
      <c r="E3642" s="30"/>
    </row>
    <row r="3643" spans="3:5" x14ac:dyDescent="0.4">
      <c r="C3643" s="31"/>
      <c r="E3643" s="30"/>
    </row>
    <row r="3644" spans="3:5" x14ac:dyDescent="0.4">
      <c r="C3644" s="31"/>
      <c r="E3644" s="30"/>
    </row>
    <row r="3645" spans="3:5" x14ac:dyDescent="0.4">
      <c r="C3645" s="31"/>
      <c r="E3645" s="30"/>
    </row>
    <row r="3646" spans="3:5" x14ac:dyDescent="0.4">
      <c r="C3646" s="31"/>
      <c r="E3646" s="30"/>
    </row>
    <row r="3647" spans="3:5" x14ac:dyDescent="0.4">
      <c r="C3647" s="31"/>
      <c r="E3647" s="30"/>
    </row>
    <row r="3648" spans="3:5" x14ac:dyDescent="0.4">
      <c r="C3648" s="31"/>
      <c r="E3648" s="30"/>
    </row>
    <row r="3649" spans="3:5" x14ac:dyDescent="0.4">
      <c r="C3649" s="31"/>
      <c r="E3649" s="30"/>
    </row>
    <row r="3650" spans="3:5" x14ac:dyDescent="0.4">
      <c r="C3650" s="31"/>
      <c r="E3650" s="30"/>
    </row>
    <row r="3651" spans="3:5" x14ac:dyDescent="0.4">
      <c r="C3651" s="31"/>
      <c r="E3651" s="30"/>
    </row>
    <row r="3652" spans="3:5" x14ac:dyDescent="0.4">
      <c r="C3652" s="31"/>
      <c r="E3652" s="30"/>
    </row>
    <row r="3653" spans="3:5" x14ac:dyDescent="0.4">
      <c r="C3653" s="31"/>
      <c r="E3653" s="30"/>
    </row>
    <row r="3654" spans="3:5" x14ac:dyDescent="0.4">
      <c r="C3654" s="31"/>
      <c r="E3654" s="30"/>
    </row>
    <row r="3655" spans="3:5" x14ac:dyDescent="0.4">
      <c r="C3655" s="31"/>
      <c r="E3655" s="30"/>
    </row>
    <row r="3656" spans="3:5" x14ac:dyDescent="0.4">
      <c r="C3656" s="31"/>
      <c r="E3656" s="30"/>
    </row>
    <row r="3657" spans="3:5" x14ac:dyDescent="0.4">
      <c r="C3657" s="31"/>
      <c r="E3657" s="30"/>
    </row>
    <row r="3658" spans="3:5" x14ac:dyDescent="0.4">
      <c r="C3658" s="31"/>
      <c r="E3658" s="30"/>
    </row>
    <row r="3659" spans="3:5" x14ac:dyDescent="0.4">
      <c r="C3659" s="31"/>
      <c r="E3659" s="30"/>
    </row>
    <row r="3660" spans="3:5" x14ac:dyDescent="0.4">
      <c r="C3660" s="31"/>
      <c r="E3660" s="30"/>
    </row>
    <row r="3661" spans="3:5" x14ac:dyDescent="0.4">
      <c r="C3661" s="31"/>
      <c r="E3661" s="30"/>
    </row>
    <row r="3662" spans="3:5" x14ac:dyDescent="0.4">
      <c r="C3662" s="31"/>
      <c r="E3662" s="30"/>
    </row>
    <row r="3663" spans="3:5" x14ac:dyDescent="0.4">
      <c r="C3663" s="31"/>
      <c r="E3663" s="30"/>
    </row>
    <row r="3664" spans="3:5" x14ac:dyDescent="0.4">
      <c r="C3664" s="31"/>
      <c r="E3664" s="30"/>
    </row>
    <row r="3665" spans="3:5" x14ac:dyDescent="0.4">
      <c r="C3665" s="31"/>
      <c r="E3665" s="30"/>
    </row>
    <row r="3666" spans="3:5" x14ac:dyDescent="0.4">
      <c r="C3666" s="31"/>
      <c r="E3666" s="30"/>
    </row>
    <row r="3667" spans="3:5" x14ac:dyDescent="0.4">
      <c r="C3667" s="31"/>
      <c r="E3667" s="30"/>
    </row>
    <row r="3668" spans="3:5" x14ac:dyDescent="0.4">
      <c r="C3668" s="31"/>
      <c r="E3668" s="30"/>
    </row>
    <row r="3669" spans="3:5" x14ac:dyDescent="0.4">
      <c r="C3669" s="31"/>
      <c r="E3669" s="30"/>
    </row>
    <row r="3670" spans="3:5" x14ac:dyDescent="0.4">
      <c r="C3670" s="31"/>
      <c r="E3670" s="30"/>
    </row>
    <row r="3671" spans="3:5" x14ac:dyDescent="0.4">
      <c r="C3671" s="31"/>
      <c r="E3671" s="30"/>
    </row>
    <row r="3672" spans="3:5" x14ac:dyDescent="0.4">
      <c r="C3672" s="31"/>
      <c r="E3672" s="30"/>
    </row>
    <row r="3673" spans="3:5" x14ac:dyDescent="0.4">
      <c r="C3673" s="31"/>
      <c r="E3673" s="30"/>
    </row>
    <row r="3674" spans="3:5" x14ac:dyDescent="0.4">
      <c r="C3674" s="31"/>
      <c r="E3674" s="30"/>
    </row>
    <row r="3675" spans="3:5" x14ac:dyDescent="0.4">
      <c r="C3675" s="31"/>
      <c r="E3675" s="30"/>
    </row>
    <row r="3676" spans="3:5" x14ac:dyDescent="0.4">
      <c r="C3676" s="31"/>
      <c r="E3676" s="30"/>
    </row>
    <row r="3677" spans="3:5" x14ac:dyDescent="0.4">
      <c r="C3677" s="31"/>
      <c r="E3677" s="30"/>
    </row>
    <row r="3678" spans="3:5" x14ac:dyDescent="0.4">
      <c r="C3678" s="31"/>
      <c r="E3678" s="30"/>
    </row>
    <row r="3679" spans="3:5" x14ac:dyDescent="0.4">
      <c r="C3679" s="31"/>
      <c r="E3679" s="30"/>
    </row>
    <row r="3680" spans="3:5" x14ac:dyDescent="0.4">
      <c r="C3680" s="31"/>
      <c r="E3680" s="30"/>
    </row>
    <row r="3681" spans="3:5" x14ac:dyDescent="0.4">
      <c r="C3681" s="31"/>
      <c r="E3681" s="30"/>
    </row>
    <row r="3682" spans="3:5" x14ac:dyDescent="0.4">
      <c r="C3682" s="31"/>
      <c r="E3682" s="30"/>
    </row>
    <row r="3683" spans="3:5" x14ac:dyDescent="0.4">
      <c r="C3683" s="31"/>
      <c r="E3683" s="30"/>
    </row>
    <row r="3684" spans="3:5" x14ac:dyDescent="0.4">
      <c r="C3684" s="31"/>
      <c r="E3684" s="30"/>
    </row>
    <row r="3685" spans="3:5" x14ac:dyDescent="0.4">
      <c r="C3685" s="31"/>
      <c r="E3685" s="30"/>
    </row>
    <row r="3686" spans="3:5" x14ac:dyDescent="0.4">
      <c r="C3686" s="31"/>
      <c r="E3686" s="30"/>
    </row>
    <row r="3687" spans="3:5" x14ac:dyDescent="0.4">
      <c r="C3687" s="31"/>
      <c r="E3687" s="30"/>
    </row>
    <row r="3688" spans="3:5" x14ac:dyDescent="0.4">
      <c r="C3688" s="31"/>
      <c r="E3688" s="30"/>
    </row>
    <row r="3689" spans="3:5" x14ac:dyDescent="0.4">
      <c r="C3689" s="31"/>
      <c r="E3689" s="30"/>
    </row>
    <row r="3690" spans="3:5" x14ac:dyDescent="0.4">
      <c r="C3690" s="31"/>
      <c r="E3690" s="30"/>
    </row>
    <row r="3691" spans="3:5" x14ac:dyDescent="0.4">
      <c r="C3691" s="31"/>
      <c r="E3691" s="30"/>
    </row>
    <row r="3692" spans="3:5" x14ac:dyDescent="0.4">
      <c r="C3692" s="31"/>
      <c r="E3692" s="30"/>
    </row>
    <row r="3693" spans="3:5" x14ac:dyDescent="0.4">
      <c r="C3693" s="31"/>
      <c r="E3693" s="30"/>
    </row>
    <row r="3694" spans="3:5" x14ac:dyDescent="0.4">
      <c r="C3694" s="31"/>
      <c r="E3694" s="30"/>
    </row>
    <row r="3695" spans="3:5" x14ac:dyDescent="0.4">
      <c r="C3695" s="31"/>
      <c r="E3695" s="30"/>
    </row>
    <row r="3696" spans="3:5" x14ac:dyDescent="0.4">
      <c r="C3696" s="31"/>
      <c r="E3696" s="30"/>
    </row>
    <row r="3697" spans="3:5" x14ac:dyDescent="0.4">
      <c r="C3697" s="31"/>
      <c r="E3697" s="30"/>
    </row>
    <row r="3698" spans="3:5" x14ac:dyDescent="0.4">
      <c r="C3698" s="31"/>
      <c r="E3698" s="30"/>
    </row>
    <row r="3699" spans="3:5" x14ac:dyDescent="0.4">
      <c r="C3699" s="31"/>
      <c r="E3699" s="30"/>
    </row>
    <row r="3700" spans="3:5" x14ac:dyDescent="0.4">
      <c r="C3700" s="31"/>
      <c r="E3700" s="30"/>
    </row>
    <row r="3701" spans="3:5" x14ac:dyDescent="0.4">
      <c r="C3701" s="31"/>
      <c r="E3701" s="30"/>
    </row>
    <row r="3702" spans="3:5" x14ac:dyDescent="0.4">
      <c r="C3702" s="31"/>
      <c r="E3702" s="30"/>
    </row>
    <row r="3703" spans="3:5" x14ac:dyDescent="0.4">
      <c r="C3703" s="31"/>
      <c r="E3703" s="30"/>
    </row>
    <row r="3704" spans="3:5" x14ac:dyDescent="0.4">
      <c r="C3704" s="31"/>
      <c r="E3704" s="30"/>
    </row>
    <row r="3705" spans="3:5" x14ac:dyDescent="0.4">
      <c r="C3705" s="31"/>
      <c r="E3705" s="30"/>
    </row>
    <row r="3706" spans="3:5" x14ac:dyDescent="0.4">
      <c r="C3706" s="31"/>
      <c r="E3706" s="30"/>
    </row>
    <row r="3707" spans="3:5" x14ac:dyDescent="0.4">
      <c r="C3707" s="31"/>
      <c r="E3707" s="30"/>
    </row>
    <row r="3708" spans="3:5" x14ac:dyDescent="0.4">
      <c r="C3708" s="31"/>
      <c r="E3708" s="30"/>
    </row>
    <row r="3709" spans="3:5" x14ac:dyDescent="0.4">
      <c r="C3709" s="31"/>
      <c r="E3709" s="30"/>
    </row>
    <row r="3710" spans="3:5" x14ac:dyDescent="0.4">
      <c r="C3710" s="31"/>
      <c r="E3710" s="30"/>
    </row>
    <row r="3711" spans="3:5" x14ac:dyDescent="0.4">
      <c r="C3711" s="31"/>
      <c r="E3711" s="30"/>
    </row>
    <row r="3712" spans="3:5" x14ac:dyDescent="0.4">
      <c r="C3712" s="31"/>
      <c r="E3712" s="30"/>
    </row>
    <row r="3713" spans="3:5" x14ac:dyDescent="0.4">
      <c r="C3713" s="31"/>
      <c r="E3713" s="30"/>
    </row>
    <row r="3714" spans="3:5" x14ac:dyDescent="0.4">
      <c r="C3714" s="31"/>
      <c r="E3714" s="30"/>
    </row>
    <row r="3715" spans="3:5" x14ac:dyDescent="0.4">
      <c r="C3715" s="31"/>
      <c r="E3715" s="30"/>
    </row>
    <row r="3716" spans="3:5" x14ac:dyDescent="0.4">
      <c r="C3716" s="31"/>
      <c r="E3716" s="30"/>
    </row>
    <row r="3717" spans="3:5" x14ac:dyDescent="0.4">
      <c r="C3717" s="31"/>
      <c r="E3717" s="30"/>
    </row>
    <row r="3718" spans="3:5" x14ac:dyDescent="0.4">
      <c r="C3718" s="31"/>
      <c r="E3718" s="30"/>
    </row>
    <row r="3719" spans="3:5" x14ac:dyDescent="0.4">
      <c r="C3719" s="31"/>
      <c r="E3719" s="30"/>
    </row>
    <row r="3720" spans="3:5" x14ac:dyDescent="0.4">
      <c r="C3720" s="31"/>
      <c r="E3720" s="30"/>
    </row>
    <row r="3721" spans="3:5" x14ac:dyDescent="0.4">
      <c r="C3721" s="31"/>
      <c r="E3721" s="30"/>
    </row>
    <row r="3722" spans="3:5" x14ac:dyDescent="0.4">
      <c r="C3722" s="31"/>
      <c r="E3722" s="30"/>
    </row>
    <row r="3723" spans="3:5" x14ac:dyDescent="0.4">
      <c r="C3723" s="31"/>
      <c r="E3723" s="30"/>
    </row>
    <row r="3724" spans="3:5" x14ac:dyDescent="0.4">
      <c r="C3724" s="31"/>
      <c r="E3724" s="30"/>
    </row>
    <row r="3725" spans="3:5" x14ac:dyDescent="0.4">
      <c r="C3725" s="31"/>
      <c r="E3725" s="30"/>
    </row>
    <row r="3726" spans="3:5" x14ac:dyDescent="0.4">
      <c r="C3726" s="31"/>
      <c r="E3726" s="30"/>
    </row>
    <row r="3727" spans="3:5" x14ac:dyDescent="0.4">
      <c r="C3727" s="31"/>
      <c r="E3727" s="30"/>
    </row>
    <row r="3728" spans="3:5" x14ac:dyDescent="0.4">
      <c r="C3728" s="31"/>
      <c r="E3728" s="30"/>
    </row>
    <row r="3729" spans="3:5" x14ac:dyDescent="0.4">
      <c r="C3729" s="31"/>
      <c r="E3729" s="30"/>
    </row>
    <row r="3730" spans="3:5" x14ac:dyDescent="0.4">
      <c r="C3730" s="31"/>
      <c r="E3730" s="30"/>
    </row>
    <row r="3731" spans="3:5" x14ac:dyDescent="0.4">
      <c r="C3731" s="31"/>
      <c r="E3731" s="30"/>
    </row>
    <row r="3732" spans="3:5" x14ac:dyDescent="0.4">
      <c r="C3732" s="31"/>
      <c r="E3732" s="30"/>
    </row>
    <row r="3733" spans="3:5" x14ac:dyDescent="0.4">
      <c r="C3733" s="31"/>
      <c r="E3733" s="30"/>
    </row>
    <row r="3734" spans="3:5" x14ac:dyDescent="0.4">
      <c r="C3734" s="31"/>
      <c r="E3734" s="30"/>
    </row>
    <row r="3735" spans="3:5" x14ac:dyDescent="0.4">
      <c r="C3735" s="31"/>
      <c r="E3735" s="30"/>
    </row>
    <row r="3736" spans="3:5" x14ac:dyDescent="0.4">
      <c r="C3736" s="31"/>
      <c r="E3736" s="30"/>
    </row>
    <row r="3737" spans="3:5" x14ac:dyDescent="0.4">
      <c r="C3737" s="31"/>
      <c r="E3737" s="30"/>
    </row>
    <row r="3738" spans="3:5" x14ac:dyDescent="0.4">
      <c r="C3738" s="31"/>
      <c r="E3738" s="30"/>
    </row>
    <row r="3739" spans="3:5" x14ac:dyDescent="0.4">
      <c r="C3739" s="31"/>
      <c r="E3739" s="30"/>
    </row>
    <row r="3740" spans="3:5" x14ac:dyDescent="0.4">
      <c r="C3740" s="31"/>
      <c r="E3740" s="30"/>
    </row>
    <row r="3741" spans="3:5" x14ac:dyDescent="0.4">
      <c r="C3741" s="31"/>
      <c r="E3741" s="30"/>
    </row>
    <row r="3742" spans="3:5" x14ac:dyDescent="0.4">
      <c r="C3742" s="31"/>
      <c r="E3742" s="30"/>
    </row>
    <row r="3743" spans="3:5" x14ac:dyDescent="0.4">
      <c r="C3743" s="31"/>
      <c r="E3743" s="30"/>
    </row>
    <row r="3744" spans="3:5" x14ac:dyDescent="0.4">
      <c r="C3744" s="31"/>
      <c r="E3744" s="30"/>
    </row>
    <row r="3745" spans="3:5" x14ac:dyDescent="0.4">
      <c r="C3745" s="31"/>
      <c r="E3745" s="30"/>
    </row>
    <row r="3746" spans="3:5" x14ac:dyDescent="0.4">
      <c r="C3746" s="31"/>
      <c r="E3746" s="30"/>
    </row>
    <row r="3747" spans="3:5" x14ac:dyDescent="0.4">
      <c r="C3747" s="31"/>
      <c r="E3747" s="30"/>
    </row>
    <row r="3748" spans="3:5" x14ac:dyDescent="0.4">
      <c r="C3748" s="31"/>
      <c r="E3748" s="30"/>
    </row>
    <row r="3749" spans="3:5" x14ac:dyDescent="0.4">
      <c r="C3749" s="31"/>
      <c r="E3749" s="30"/>
    </row>
    <row r="3750" spans="3:5" x14ac:dyDescent="0.4">
      <c r="C3750" s="31"/>
      <c r="E3750" s="30"/>
    </row>
    <row r="3751" spans="3:5" x14ac:dyDescent="0.4">
      <c r="C3751" s="31"/>
      <c r="E3751" s="30"/>
    </row>
    <row r="3752" spans="3:5" x14ac:dyDescent="0.4">
      <c r="C3752" s="31"/>
      <c r="E3752" s="30"/>
    </row>
    <row r="3753" spans="3:5" x14ac:dyDescent="0.4">
      <c r="C3753" s="31"/>
      <c r="E3753" s="30"/>
    </row>
    <row r="3754" spans="3:5" x14ac:dyDescent="0.4">
      <c r="C3754" s="31"/>
      <c r="E3754" s="30"/>
    </row>
    <row r="3755" spans="3:5" x14ac:dyDescent="0.4">
      <c r="C3755" s="31"/>
      <c r="E3755" s="30"/>
    </row>
    <row r="3756" spans="3:5" x14ac:dyDescent="0.4">
      <c r="C3756" s="31"/>
      <c r="E3756" s="30"/>
    </row>
    <row r="3757" spans="3:5" x14ac:dyDescent="0.4">
      <c r="C3757" s="31"/>
      <c r="E3757" s="30"/>
    </row>
    <row r="3758" spans="3:5" x14ac:dyDescent="0.4">
      <c r="C3758" s="31"/>
      <c r="E3758" s="30"/>
    </row>
    <row r="3759" spans="3:5" x14ac:dyDescent="0.4">
      <c r="C3759" s="31"/>
      <c r="E3759" s="30"/>
    </row>
    <row r="3760" spans="3:5" x14ac:dyDescent="0.4">
      <c r="C3760" s="31"/>
      <c r="E3760" s="30"/>
    </row>
    <row r="3761" spans="3:5" x14ac:dyDescent="0.4">
      <c r="C3761" s="31"/>
      <c r="E3761" s="30"/>
    </row>
    <row r="3762" spans="3:5" x14ac:dyDescent="0.4">
      <c r="C3762" s="31"/>
      <c r="E3762" s="30"/>
    </row>
    <row r="3763" spans="3:5" x14ac:dyDescent="0.4">
      <c r="C3763" s="31"/>
      <c r="E3763" s="30"/>
    </row>
    <row r="3764" spans="3:5" x14ac:dyDescent="0.4">
      <c r="C3764" s="31"/>
      <c r="E3764" s="30"/>
    </row>
    <row r="3765" spans="3:5" x14ac:dyDescent="0.4">
      <c r="C3765" s="31"/>
      <c r="E3765" s="30"/>
    </row>
    <row r="3766" spans="3:5" x14ac:dyDescent="0.4">
      <c r="C3766" s="31"/>
      <c r="E3766" s="30"/>
    </row>
    <row r="3767" spans="3:5" x14ac:dyDescent="0.4">
      <c r="C3767" s="31"/>
      <c r="E3767" s="30"/>
    </row>
    <row r="3768" spans="3:5" x14ac:dyDescent="0.4">
      <c r="C3768" s="31"/>
      <c r="E3768" s="30"/>
    </row>
    <row r="3769" spans="3:5" x14ac:dyDescent="0.4">
      <c r="C3769" s="31"/>
      <c r="E3769" s="30"/>
    </row>
    <row r="3770" spans="3:5" x14ac:dyDescent="0.4">
      <c r="C3770" s="31"/>
      <c r="E3770" s="30"/>
    </row>
    <row r="3771" spans="3:5" x14ac:dyDescent="0.4">
      <c r="C3771" s="31"/>
      <c r="E3771" s="30"/>
    </row>
    <row r="3772" spans="3:5" x14ac:dyDescent="0.4">
      <c r="C3772" s="31"/>
      <c r="E3772" s="30"/>
    </row>
    <row r="3773" spans="3:5" x14ac:dyDescent="0.4">
      <c r="C3773" s="31"/>
      <c r="E3773" s="30"/>
    </row>
    <row r="3774" spans="3:5" x14ac:dyDescent="0.4">
      <c r="C3774" s="31"/>
      <c r="E3774" s="30"/>
    </row>
    <row r="3775" spans="3:5" x14ac:dyDescent="0.4">
      <c r="C3775" s="31"/>
      <c r="E3775" s="30"/>
    </row>
    <row r="3776" spans="3:5" x14ac:dyDescent="0.4">
      <c r="C3776" s="31"/>
      <c r="E3776" s="30"/>
    </row>
    <row r="3777" spans="3:5" x14ac:dyDescent="0.4">
      <c r="C3777" s="31"/>
      <c r="E3777" s="30"/>
    </row>
    <row r="3778" spans="3:5" x14ac:dyDescent="0.4">
      <c r="C3778" s="31"/>
      <c r="E3778" s="30"/>
    </row>
    <row r="3779" spans="3:5" x14ac:dyDescent="0.4">
      <c r="C3779" s="31"/>
      <c r="E3779" s="30"/>
    </row>
    <row r="3780" spans="3:5" x14ac:dyDescent="0.4">
      <c r="C3780" s="31"/>
      <c r="E3780" s="30"/>
    </row>
    <row r="3781" spans="3:5" x14ac:dyDescent="0.4">
      <c r="C3781" s="31"/>
      <c r="E3781" s="30"/>
    </row>
    <row r="3782" spans="3:5" x14ac:dyDescent="0.4">
      <c r="C3782" s="31"/>
      <c r="E3782" s="30"/>
    </row>
    <row r="3783" spans="3:5" x14ac:dyDescent="0.4">
      <c r="C3783" s="31"/>
      <c r="E3783" s="30"/>
    </row>
    <row r="3784" spans="3:5" x14ac:dyDescent="0.4">
      <c r="C3784" s="31"/>
      <c r="E3784" s="30"/>
    </row>
    <row r="3785" spans="3:5" x14ac:dyDescent="0.4">
      <c r="C3785" s="31"/>
      <c r="E3785" s="30"/>
    </row>
    <row r="3786" spans="3:5" x14ac:dyDescent="0.4">
      <c r="C3786" s="31"/>
      <c r="E3786" s="30"/>
    </row>
    <row r="3787" spans="3:5" x14ac:dyDescent="0.4">
      <c r="C3787" s="31"/>
      <c r="E3787" s="30"/>
    </row>
    <row r="3788" spans="3:5" x14ac:dyDescent="0.4">
      <c r="C3788" s="31"/>
      <c r="E3788" s="30"/>
    </row>
    <row r="3789" spans="3:5" x14ac:dyDescent="0.4">
      <c r="C3789" s="31"/>
      <c r="E3789" s="30"/>
    </row>
    <row r="3790" spans="3:5" x14ac:dyDescent="0.4">
      <c r="C3790" s="31"/>
      <c r="E3790" s="30"/>
    </row>
    <row r="3791" spans="3:5" x14ac:dyDescent="0.4">
      <c r="C3791" s="31"/>
      <c r="E3791" s="30"/>
    </row>
    <row r="3792" spans="3:5" x14ac:dyDescent="0.4">
      <c r="C3792" s="31"/>
      <c r="E3792" s="30"/>
    </row>
    <row r="3793" spans="3:5" x14ac:dyDescent="0.4">
      <c r="C3793" s="31"/>
      <c r="E3793" s="30"/>
    </row>
    <row r="3794" spans="3:5" x14ac:dyDescent="0.4">
      <c r="C3794" s="31"/>
      <c r="E3794" s="30"/>
    </row>
    <row r="3795" spans="3:5" x14ac:dyDescent="0.4">
      <c r="C3795" s="31"/>
      <c r="E3795" s="30"/>
    </row>
    <row r="3796" spans="3:5" x14ac:dyDescent="0.4">
      <c r="C3796" s="31"/>
      <c r="E3796" s="30"/>
    </row>
    <row r="3797" spans="3:5" x14ac:dyDescent="0.4">
      <c r="C3797" s="31"/>
      <c r="E3797" s="30"/>
    </row>
    <row r="3798" spans="3:5" x14ac:dyDescent="0.4">
      <c r="C3798" s="31"/>
      <c r="E3798" s="30"/>
    </row>
    <row r="3799" spans="3:5" x14ac:dyDescent="0.4">
      <c r="C3799" s="31"/>
      <c r="E3799" s="30"/>
    </row>
    <row r="3800" spans="3:5" x14ac:dyDescent="0.4">
      <c r="C3800" s="31"/>
      <c r="E3800" s="30"/>
    </row>
    <row r="3801" spans="3:5" x14ac:dyDescent="0.4">
      <c r="C3801" s="31"/>
      <c r="E3801" s="30"/>
    </row>
    <row r="3802" spans="3:5" x14ac:dyDescent="0.4">
      <c r="C3802" s="31"/>
      <c r="E3802" s="30"/>
    </row>
    <row r="3803" spans="3:5" x14ac:dyDescent="0.4">
      <c r="C3803" s="31"/>
      <c r="E3803" s="30"/>
    </row>
    <row r="3804" spans="3:5" x14ac:dyDescent="0.4">
      <c r="C3804" s="31"/>
      <c r="E3804" s="30"/>
    </row>
    <row r="3805" spans="3:5" x14ac:dyDescent="0.4">
      <c r="C3805" s="31"/>
      <c r="E3805" s="30"/>
    </row>
    <row r="3806" spans="3:5" x14ac:dyDescent="0.4">
      <c r="C3806" s="31"/>
      <c r="E3806" s="30"/>
    </row>
    <row r="3807" spans="3:5" x14ac:dyDescent="0.4">
      <c r="C3807" s="31"/>
      <c r="E3807" s="30"/>
    </row>
    <row r="3808" spans="3:5" x14ac:dyDescent="0.4">
      <c r="C3808" s="31"/>
      <c r="E3808" s="30"/>
    </row>
    <row r="3809" spans="3:5" x14ac:dyDescent="0.4">
      <c r="C3809" s="31"/>
      <c r="E3809" s="30"/>
    </row>
    <row r="3810" spans="3:5" x14ac:dyDescent="0.4">
      <c r="C3810" s="31"/>
      <c r="E3810" s="30"/>
    </row>
    <row r="3811" spans="3:5" x14ac:dyDescent="0.4">
      <c r="C3811" s="31"/>
      <c r="E3811" s="30"/>
    </row>
    <row r="3812" spans="3:5" x14ac:dyDescent="0.4">
      <c r="C3812" s="31"/>
      <c r="E3812" s="30"/>
    </row>
    <row r="3813" spans="3:5" x14ac:dyDescent="0.4">
      <c r="C3813" s="31"/>
      <c r="E3813" s="30"/>
    </row>
    <row r="3814" spans="3:5" x14ac:dyDescent="0.4">
      <c r="C3814" s="31"/>
      <c r="E3814" s="30"/>
    </row>
    <row r="3815" spans="3:5" x14ac:dyDescent="0.4">
      <c r="C3815" s="31"/>
      <c r="E3815" s="30"/>
    </row>
    <row r="3816" spans="3:5" x14ac:dyDescent="0.4">
      <c r="C3816" s="31"/>
      <c r="E3816" s="30"/>
    </row>
    <row r="3817" spans="3:5" x14ac:dyDescent="0.4">
      <c r="C3817" s="31"/>
      <c r="E3817" s="30"/>
    </row>
    <row r="3818" spans="3:5" x14ac:dyDescent="0.4">
      <c r="C3818" s="31"/>
      <c r="E3818" s="30"/>
    </row>
    <row r="3819" spans="3:5" x14ac:dyDescent="0.4">
      <c r="C3819" s="31"/>
      <c r="E3819" s="30"/>
    </row>
    <row r="3820" spans="3:5" x14ac:dyDescent="0.4">
      <c r="C3820" s="31"/>
      <c r="E3820" s="30"/>
    </row>
    <row r="3821" spans="3:5" x14ac:dyDescent="0.4">
      <c r="C3821" s="31"/>
      <c r="E3821" s="30"/>
    </row>
    <row r="3822" spans="3:5" x14ac:dyDescent="0.4">
      <c r="C3822" s="31"/>
      <c r="E3822" s="30"/>
    </row>
    <row r="3823" spans="3:5" x14ac:dyDescent="0.4">
      <c r="C3823" s="31"/>
      <c r="E3823" s="30"/>
    </row>
    <row r="3824" spans="3:5" x14ac:dyDescent="0.4">
      <c r="C3824" s="31"/>
      <c r="E3824" s="30"/>
    </row>
    <row r="3825" spans="3:5" x14ac:dyDescent="0.4">
      <c r="C3825" s="31"/>
      <c r="E3825" s="30"/>
    </row>
    <row r="3826" spans="3:5" x14ac:dyDescent="0.4">
      <c r="C3826" s="31"/>
      <c r="E3826" s="30"/>
    </row>
    <row r="3827" spans="3:5" x14ac:dyDescent="0.4">
      <c r="C3827" s="31"/>
      <c r="E3827" s="30"/>
    </row>
    <row r="3828" spans="3:5" x14ac:dyDescent="0.4">
      <c r="C3828" s="31"/>
      <c r="E3828" s="30"/>
    </row>
    <row r="3829" spans="3:5" x14ac:dyDescent="0.4">
      <c r="C3829" s="31"/>
      <c r="E3829" s="30"/>
    </row>
    <row r="3830" spans="3:5" x14ac:dyDescent="0.4">
      <c r="C3830" s="31"/>
      <c r="E3830" s="30"/>
    </row>
    <row r="3831" spans="3:5" x14ac:dyDescent="0.4">
      <c r="C3831" s="31"/>
      <c r="E3831" s="30"/>
    </row>
    <row r="3832" spans="3:5" x14ac:dyDescent="0.4">
      <c r="C3832" s="31"/>
      <c r="E3832" s="30"/>
    </row>
    <row r="3833" spans="3:5" x14ac:dyDescent="0.4">
      <c r="C3833" s="31"/>
      <c r="E3833" s="30"/>
    </row>
    <row r="3834" spans="3:5" x14ac:dyDescent="0.4">
      <c r="C3834" s="31"/>
      <c r="E3834" s="30"/>
    </row>
    <row r="3835" spans="3:5" x14ac:dyDescent="0.4">
      <c r="C3835" s="31"/>
      <c r="E3835" s="30"/>
    </row>
    <row r="3836" spans="3:5" x14ac:dyDescent="0.4">
      <c r="C3836" s="31"/>
      <c r="E3836" s="30"/>
    </row>
    <row r="3837" spans="3:5" x14ac:dyDescent="0.4">
      <c r="C3837" s="31"/>
      <c r="E3837" s="30"/>
    </row>
    <row r="3838" spans="3:5" x14ac:dyDescent="0.4">
      <c r="C3838" s="31"/>
      <c r="E3838" s="30"/>
    </row>
    <row r="3839" spans="3:5" x14ac:dyDescent="0.4">
      <c r="C3839" s="31"/>
      <c r="E3839" s="30"/>
    </row>
    <row r="3840" spans="3:5" x14ac:dyDescent="0.4">
      <c r="C3840" s="31"/>
      <c r="E3840" s="30"/>
    </row>
    <row r="3841" spans="3:5" x14ac:dyDescent="0.4">
      <c r="C3841" s="31"/>
      <c r="E3841" s="30"/>
    </row>
    <row r="3842" spans="3:5" x14ac:dyDescent="0.4">
      <c r="C3842" s="31"/>
      <c r="E3842" s="30"/>
    </row>
    <row r="3843" spans="3:5" x14ac:dyDescent="0.4">
      <c r="C3843" s="31"/>
      <c r="E3843" s="30"/>
    </row>
    <row r="3844" spans="3:5" x14ac:dyDescent="0.4">
      <c r="C3844" s="31"/>
      <c r="E3844" s="30"/>
    </row>
    <row r="3845" spans="3:5" x14ac:dyDescent="0.4">
      <c r="C3845" s="31"/>
      <c r="E3845" s="30"/>
    </row>
    <row r="3846" spans="3:5" x14ac:dyDescent="0.4">
      <c r="C3846" s="31"/>
      <c r="E3846" s="30"/>
    </row>
    <row r="3847" spans="3:5" x14ac:dyDescent="0.4">
      <c r="C3847" s="31"/>
      <c r="E3847" s="30"/>
    </row>
    <row r="3848" spans="3:5" x14ac:dyDescent="0.4">
      <c r="C3848" s="31"/>
      <c r="E3848" s="30"/>
    </row>
    <row r="3849" spans="3:5" x14ac:dyDescent="0.4">
      <c r="C3849" s="31"/>
      <c r="E3849" s="30"/>
    </row>
    <row r="3850" spans="3:5" x14ac:dyDescent="0.4">
      <c r="C3850" s="31"/>
      <c r="E3850" s="30"/>
    </row>
    <row r="3851" spans="3:5" x14ac:dyDescent="0.4">
      <c r="C3851" s="31"/>
      <c r="E3851" s="30"/>
    </row>
    <row r="3852" spans="3:5" x14ac:dyDescent="0.4">
      <c r="C3852" s="31"/>
      <c r="E3852" s="30"/>
    </row>
    <row r="3853" spans="3:5" x14ac:dyDescent="0.4">
      <c r="C3853" s="31"/>
      <c r="E3853" s="30"/>
    </row>
    <row r="3854" spans="3:5" x14ac:dyDescent="0.4">
      <c r="C3854" s="31"/>
      <c r="E3854" s="30"/>
    </row>
    <row r="3855" spans="3:5" x14ac:dyDescent="0.4">
      <c r="C3855" s="31"/>
      <c r="E3855" s="30"/>
    </row>
    <row r="3856" spans="3:5" x14ac:dyDescent="0.4">
      <c r="C3856" s="31"/>
      <c r="E3856" s="30"/>
    </row>
    <row r="3857" spans="3:5" x14ac:dyDescent="0.4">
      <c r="C3857" s="31"/>
      <c r="E3857" s="30"/>
    </row>
    <row r="3858" spans="3:5" x14ac:dyDescent="0.4">
      <c r="C3858" s="31"/>
      <c r="E3858" s="30"/>
    </row>
    <row r="3859" spans="3:5" x14ac:dyDescent="0.4">
      <c r="C3859" s="31"/>
      <c r="E3859" s="30"/>
    </row>
    <row r="3860" spans="3:5" x14ac:dyDescent="0.4">
      <c r="C3860" s="31"/>
      <c r="E3860" s="30"/>
    </row>
    <row r="3861" spans="3:5" x14ac:dyDescent="0.4">
      <c r="C3861" s="31"/>
      <c r="E3861" s="30"/>
    </row>
    <row r="3862" spans="3:5" x14ac:dyDescent="0.4">
      <c r="C3862" s="31"/>
      <c r="E3862" s="30"/>
    </row>
    <row r="3863" spans="3:5" x14ac:dyDescent="0.4">
      <c r="C3863" s="31"/>
      <c r="E3863" s="30"/>
    </row>
    <row r="3864" spans="3:5" x14ac:dyDescent="0.4">
      <c r="C3864" s="31"/>
      <c r="E3864" s="30"/>
    </row>
    <row r="3865" spans="3:5" x14ac:dyDescent="0.4">
      <c r="C3865" s="31"/>
      <c r="E3865" s="30"/>
    </row>
    <row r="3866" spans="3:5" x14ac:dyDescent="0.4">
      <c r="C3866" s="31"/>
      <c r="E3866" s="30"/>
    </row>
    <row r="3867" spans="3:5" x14ac:dyDescent="0.4">
      <c r="C3867" s="31"/>
      <c r="E3867" s="30"/>
    </row>
    <row r="3868" spans="3:5" x14ac:dyDescent="0.4">
      <c r="C3868" s="31"/>
      <c r="E3868" s="30"/>
    </row>
    <row r="3869" spans="3:5" x14ac:dyDescent="0.4">
      <c r="C3869" s="31"/>
      <c r="E3869" s="30"/>
    </row>
    <row r="3870" spans="3:5" x14ac:dyDescent="0.4">
      <c r="C3870" s="31"/>
      <c r="E3870" s="30"/>
    </row>
    <row r="3871" spans="3:5" x14ac:dyDescent="0.4">
      <c r="C3871" s="31"/>
      <c r="E3871" s="30"/>
    </row>
    <row r="3872" spans="3:5" x14ac:dyDescent="0.4">
      <c r="C3872" s="31"/>
      <c r="E3872" s="30"/>
    </row>
    <row r="3873" spans="3:5" x14ac:dyDescent="0.4">
      <c r="C3873" s="31"/>
      <c r="E3873" s="30"/>
    </row>
    <row r="3874" spans="3:5" x14ac:dyDescent="0.4">
      <c r="C3874" s="31"/>
      <c r="E3874" s="30"/>
    </row>
    <row r="3875" spans="3:5" x14ac:dyDescent="0.4">
      <c r="C3875" s="31"/>
      <c r="E3875" s="30"/>
    </row>
    <row r="3876" spans="3:5" x14ac:dyDescent="0.4">
      <c r="C3876" s="31"/>
      <c r="E3876" s="30"/>
    </row>
    <row r="3877" spans="3:5" x14ac:dyDescent="0.4">
      <c r="C3877" s="31"/>
      <c r="E3877" s="30"/>
    </row>
    <row r="3878" spans="3:5" x14ac:dyDescent="0.4">
      <c r="C3878" s="31"/>
      <c r="E3878" s="30"/>
    </row>
    <row r="3879" spans="3:5" x14ac:dyDescent="0.4">
      <c r="C3879" s="31"/>
      <c r="E3879" s="30"/>
    </row>
    <row r="3880" spans="3:5" x14ac:dyDescent="0.4">
      <c r="C3880" s="31"/>
      <c r="E3880" s="30"/>
    </row>
    <row r="3881" spans="3:5" x14ac:dyDescent="0.4">
      <c r="C3881" s="31"/>
      <c r="E3881" s="30"/>
    </row>
    <row r="3882" spans="3:5" x14ac:dyDescent="0.4">
      <c r="C3882" s="31"/>
      <c r="E3882" s="30"/>
    </row>
    <row r="3883" spans="3:5" x14ac:dyDescent="0.4">
      <c r="C3883" s="31"/>
      <c r="E3883" s="30"/>
    </row>
    <row r="3884" spans="3:5" x14ac:dyDescent="0.4">
      <c r="C3884" s="31"/>
      <c r="E3884" s="30"/>
    </row>
    <row r="3885" spans="3:5" x14ac:dyDescent="0.4">
      <c r="C3885" s="31"/>
      <c r="E3885" s="30"/>
    </row>
    <row r="3886" spans="3:5" x14ac:dyDescent="0.4">
      <c r="C3886" s="31"/>
      <c r="E3886" s="30"/>
    </row>
    <row r="3887" spans="3:5" x14ac:dyDescent="0.4">
      <c r="C3887" s="31"/>
      <c r="E3887" s="30"/>
    </row>
    <row r="3888" spans="3:5" x14ac:dyDescent="0.4">
      <c r="C3888" s="31"/>
      <c r="E3888" s="30"/>
    </row>
    <row r="3889" spans="3:5" x14ac:dyDescent="0.4">
      <c r="C3889" s="31"/>
      <c r="E3889" s="30"/>
    </row>
    <row r="3890" spans="3:5" x14ac:dyDescent="0.4">
      <c r="C3890" s="31"/>
      <c r="E3890" s="30"/>
    </row>
    <row r="3891" spans="3:5" x14ac:dyDescent="0.4">
      <c r="C3891" s="31"/>
      <c r="E3891" s="30"/>
    </row>
    <row r="3892" spans="3:5" x14ac:dyDescent="0.4">
      <c r="C3892" s="31"/>
      <c r="E3892" s="30"/>
    </row>
    <row r="3893" spans="3:5" x14ac:dyDescent="0.4">
      <c r="C3893" s="31"/>
      <c r="E3893" s="30"/>
    </row>
    <row r="3894" spans="3:5" x14ac:dyDescent="0.4">
      <c r="C3894" s="31"/>
      <c r="E3894" s="30"/>
    </row>
    <row r="3895" spans="3:5" x14ac:dyDescent="0.4">
      <c r="C3895" s="31"/>
      <c r="E3895" s="30"/>
    </row>
    <row r="3896" spans="3:5" x14ac:dyDescent="0.4">
      <c r="C3896" s="31"/>
      <c r="E3896" s="30"/>
    </row>
    <row r="3897" spans="3:5" x14ac:dyDescent="0.4">
      <c r="C3897" s="31"/>
      <c r="E3897" s="30"/>
    </row>
    <row r="3898" spans="3:5" x14ac:dyDescent="0.4">
      <c r="C3898" s="31"/>
      <c r="E3898" s="30"/>
    </row>
    <row r="3899" spans="3:5" x14ac:dyDescent="0.4">
      <c r="C3899" s="31"/>
      <c r="E3899" s="30"/>
    </row>
    <row r="3900" spans="3:5" x14ac:dyDescent="0.4">
      <c r="C3900" s="31"/>
      <c r="E3900" s="30"/>
    </row>
    <row r="3901" spans="3:5" x14ac:dyDescent="0.4">
      <c r="C3901" s="31"/>
      <c r="E3901" s="30"/>
    </row>
    <row r="3902" spans="3:5" x14ac:dyDescent="0.4">
      <c r="C3902" s="31"/>
      <c r="E3902" s="30"/>
    </row>
    <row r="3903" spans="3:5" x14ac:dyDescent="0.4">
      <c r="C3903" s="31"/>
      <c r="E3903" s="30"/>
    </row>
    <row r="3904" spans="3:5" x14ac:dyDescent="0.4">
      <c r="C3904" s="31"/>
      <c r="E3904" s="30"/>
    </row>
    <row r="3905" spans="3:5" x14ac:dyDescent="0.4">
      <c r="C3905" s="31"/>
      <c r="E3905" s="30"/>
    </row>
    <row r="3906" spans="3:5" x14ac:dyDescent="0.4">
      <c r="C3906" s="31"/>
      <c r="E3906" s="30"/>
    </row>
    <row r="3907" spans="3:5" x14ac:dyDescent="0.4">
      <c r="C3907" s="31"/>
      <c r="E3907" s="30"/>
    </row>
    <row r="3908" spans="3:5" x14ac:dyDescent="0.4">
      <c r="C3908" s="31"/>
      <c r="E3908" s="30"/>
    </row>
    <row r="3909" spans="3:5" x14ac:dyDescent="0.4">
      <c r="C3909" s="31"/>
      <c r="E3909" s="30"/>
    </row>
    <row r="3910" spans="3:5" x14ac:dyDescent="0.4">
      <c r="C3910" s="31"/>
      <c r="E3910" s="30"/>
    </row>
    <row r="3911" spans="3:5" x14ac:dyDescent="0.4">
      <c r="C3911" s="31"/>
      <c r="E3911" s="30"/>
    </row>
    <row r="3912" spans="3:5" x14ac:dyDescent="0.4">
      <c r="C3912" s="31"/>
      <c r="E3912" s="30"/>
    </row>
    <row r="3913" spans="3:5" x14ac:dyDescent="0.4">
      <c r="C3913" s="31"/>
      <c r="E3913" s="30"/>
    </row>
    <row r="3914" spans="3:5" x14ac:dyDescent="0.4">
      <c r="C3914" s="31"/>
      <c r="E3914" s="30"/>
    </row>
    <row r="3915" spans="3:5" x14ac:dyDescent="0.4">
      <c r="C3915" s="31"/>
      <c r="E3915" s="30"/>
    </row>
    <row r="3916" spans="3:5" x14ac:dyDescent="0.4">
      <c r="C3916" s="31"/>
      <c r="E3916" s="30"/>
    </row>
    <row r="3917" spans="3:5" x14ac:dyDescent="0.4">
      <c r="C3917" s="31"/>
      <c r="E3917" s="30"/>
    </row>
    <row r="3918" spans="3:5" x14ac:dyDescent="0.4">
      <c r="C3918" s="31"/>
      <c r="E3918" s="30"/>
    </row>
    <row r="3919" spans="3:5" x14ac:dyDescent="0.4">
      <c r="C3919" s="31"/>
      <c r="E3919" s="30"/>
    </row>
    <row r="3920" spans="3:5" x14ac:dyDescent="0.4">
      <c r="C3920" s="31"/>
      <c r="E3920" s="30"/>
    </row>
    <row r="3921" spans="3:5" x14ac:dyDescent="0.4">
      <c r="C3921" s="31"/>
      <c r="E3921" s="30"/>
    </row>
    <row r="3922" spans="3:5" x14ac:dyDescent="0.4">
      <c r="C3922" s="31"/>
      <c r="E3922" s="30"/>
    </row>
    <row r="3923" spans="3:5" x14ac:dyDescent="0.4">
      <c r="C3923" s="31"/>
      <c r="E3923" s="30"/>
    </row>
    <row r="3924" spans="3:5" x14ac:dyDescent="0.4">
      <c r="C3924" s="31"/>
      <c r="E3924" s="30"/>
    </row>
    <row r="3925" spans="3:5" x14ac:dyDescent="0.4">
      <c r="C3925" s="31"/>
      <c r="E3925" s="30"/>
    </row>
    <row r="3926" spans="3:5" x14ac:dyDescent="0.4">
      <c r="C3926" s="31"/>
      <c r="E3926" s="30"/>
    </row>
    <row r="3927" spans="3:5" x14ac:dyDescent="0.4">
      <c r="C3927" s="31"/>
      <c r="E3927" s="30"/>
    </row>
    <row r="3928" spans="3:5" x14ac:dyDescent="0.4">
      <c r="C3928" s="31"/>
      <c r="E3928" s="30"/>
    </row>
    <row r="3929" spans="3:5" x14ac:dyDescent="0.4">
      <c r="C3929" s="31"/>
      <c r="E3929" s="30"/>
    </row>
    <row r="3930" spans="3:5" x14ac:dyDescent="0.4">
      <c r="C3930" s="31"/>
      <c r="E3930" s="30"/>
    </row>
    <row r="3931" spans="3:5" x14ac:dyDescent="0.4">
      <c r="C3931" s="31"/>
      <c r="E3931" s="30"/>
    </row>
    <row r="3932" spans="3:5" x14ac:dyDescent="0.4">
      <c r="C3932" s="31"/>
      <c r="E3932" s="30"/>
    </row>
    <row r="3933" spans="3:5" x14ac:dyDescent="0.4">
      <c r="C3933" s="31"/>
      <c r="E3933" s="30"/>
    </row>
    <row r="3934" spans="3:5" x14ac:dyDescent="0.4">
      <c r="C3934" s="31"/>
      <c r="E3934" s="30"/>
    </row>
    <row r="3935" spans="3:5" x14ac:dyDescent="0.4">
      <c r="C3935" s="31"/>
      <c r="E3935" s="30"/>
    </row>
    <row r="3936" spans="3:5" x14ac:dyDescent="0.4">
      <c r="C3936" s="31"/>
      <c r="E3936" s="30"/>
    </row>
    <row r="3937" spans="3:5" x14ac:dyDescent="0.4">
      <c r="C3937" s="31"/>
      <c r="E3937" s="30"/>
    </row>
    <row r="3938" spans="3:5" x14ac:dyDescent="0.4">
      <c r="C3938" s="31"/>
      <c r="E3938" s="30"/>
    </row>
    <row r="3939" spans="3:5" x14ac:dyDescent="0.4">
      <c r="C3939" s="31"/>
      <c r="E3939" s="30"/>
    </row>
    <row r="3940" spans="3:5" x14ac:dyDescent="0.4">
      <c r="C3940" s="31"/>
      <c r="E3940" s="30"/>
    </row>
    <row r="3941" spans="3:5" x14ac:dyDescent="0.4">
      <c r="C3941" s="31"/>
      <c r="E3941" s="30"/>
    </row>
    <row r="3942" spans="3:5" x14ac:dyDescent="0.4">
      <c r="C3942" s="31"/>
      <c r="E3942" s="30"/>
    </row>
    <row r="3943" spans="3:5" x14ac:dyDescent="0.4">
      <c r="C3943" s="31"/>
      <c r="E3943" s="30"/>
    </row>
    <row r="3944" spans="3:5" x14ac:dyDescent="0.4">
      <c r="C3944" s="31"/>
      <c r="E3944" s="30"/>
    </row>
    <row r="3945" spans="3:5" x14ac:dyDescent="0.4">
      <c r="C3945" s="31"/>
      <c r="E3945" s="30"/>
    </row>
    <row r="3946" spans="3:5" x14ac:dyDescent="0.4">
      <c r="C3946" s="31"/>
      <c r="E3946" s="30"/>
    </row>
    <row r="3947" spans="3:5" x14ac:dyDescent="0.4">
      <c r="C3947" s="31"/>
      <c r="E3947" s="30"/>
    </row>
    <row r="3948" spans="3:5" x14ac:dyDescent="0.4">
      <c r="C3948" s="31"/>
      <c r="E3948" s="30"/>
    </row>
    <row r="3949" spans="3:5" x14ac:dyDescent="0.4">
      <c r="C3949" s="31"/>
      <c r="E3949" s="30"/>
    </row>
    <row r="3950" spans="3:5" x14ac:dyDescent="0.4">
      <c r="C3950" s="31"/>
      <c r="E3950" s="30"/>
    </row>
    <row r="3951" spans="3:5" x14ac:dyDescent="0.4">
      <c r="C3951" s="31"/>
      <c r="E3951" s="30"/>
    </row>
    <row r="3952" spans="3:5" x14ac:dyDescent="0.4">
      <c r="C3952" s="31"/>
      <c r="E3952" s="30"/>
    </row>
    <row r="3953" spans="3:5" x14ac:dyDescent="0.4">
      <c r="C3953" s="31"/>
      <c r="E3953" s="30"/>
    </row>
    <row r="3954" spans="3:5" x14ac:dyDescent="0.4">
      <c r="C3954" s="31"/>
      <c r="E3954" s="30"/>
    </row>
    <row r="3955" spans="3:5" x14ac:dyDescent="0.4">
      <c r="C3955" s="31"/>
      <c r="E3955" s="30"/>
    </row>
    <row r="3956" spans="3:5" x14ac:dyDescent="0.4">
      <c r="C3956" s="31"/>
      <c r="E3956" s="30"/>
    </row>
    <row r="3957" spans="3:5" x14ac:dyDescent="0.4">
      <c r="C3957" s="31"/>
      <c r="E3957" s="30"/>
    </row>
    <row r="3958" spans="3:5" x14ac:dyDescent="0.4">
      <c r="C3958" s="31"/>
      <c r="E3958" s="30"/>
    </row>
    <row r="3959" spans="3:5" x14ac:dyDescent="0.4">
      <c r="C3959" s="31"/>
      <c r="E3959" s="30"/>
    </row>
    <row r="3960" spans="3:5" x14ac:dyDescent="0.4">
      <c r="C3960" s="31"/>
      <c r="E3960" s="30"/>
    </row>
    <row r="3961" spans="3:5" x14ac:dyDescent="0.4">
      <c r="C3961" s="31"/>
      <c r="E3961" s="30"/>
    </row>
    <row r="3962" spans="3:5" x14ac:dyDescent="0.4">
      <c r="C3962" s="31"/>
      <c r="E3962" s="30"/>
    </row>
    <row r="3963" spans="3:5" x14ac:dyDescent="0.4">
      <c r="C3963" s="31"/>
      <c r="E3963" s="30"/>
    </row>
    <row r="3964" spans="3:5" x14ac:dyDescent="0.4">
      <c r="C3964" s="31"/>
      <c r="E3964" s="30"/>
    </row>
    <row r="3965" spans="3:5" x14ac:dyDescent="0.4">
      <c r="C3965" s="31"/>
      <c r="E3965" s="30"/>
    </row>
    <row r="3966" spans="3:5" x14ac:dyDescent="0.4">
      <c r="C3966" s="31"/>
      <c r="E3966" s="30"/>
    </row>
    <row r="3967" spans="3:5" x14ac:dyDescent="0.4">
      <c r="C3967" s="31"/>
      <c r="E3967" s="30"/>
    </row>
    <row r="3968" spans="3:5" x14ac:dyDescent="0.4">
      <c r="C3968" s="31"/>
      <c r="E3968" s="30"/>
    </row>
    <row r="3969" spans="3:5" x14ac:dyDescent="0.4">
      <c r="C3969" s="31"/>
      <c r="E3969" s="30"/>
    </row>
    <row r="3970" spans="3:5" x14ac:dyDescent="0.4">
      <c r="C3970" s="31"/>
      <c r="E3970" s="30"/>
    </row>
    <row r="3971" spans="3:5" x14ac:dyDescent="0.4">
      <c r="C3971" s="31"/>
      <c r="E3971" s="30"/>
    </row>
    <row r="3972" spans="3:5" x14ac:dyDescent="0.4">
      <c r="C3972" s="31"/>
      <c r="E3972" s="30"/>
    </row>
    <row r="3973" spans="3:5" x14ac:dyDescent="0.4">
      <c r="C3973" s="31"/>
      <c r="E3973" s="30"/>
    </row>
    <row r="3974" spans="3:5" x14ac:dyDescent="0.4">
      <c r="C3974" s="31"/>
      <c r="E3974" s="30"/>
    </row>
    <row r="3975" spans="3:5" x14ac:dyDescent="0.4">
      <c r="C3975" s="31"/>
      <c r="E3975" s="30"/>
    </row>
    <row r="3976" spans="3:5" x14ac:dyDescent="0.4">
      <c r="C3976" s="31"/>
      <c r="E3976" s="30"/>
    </row>
    <row r="3977" spans="3:5" x14ac:dyDescent="0.4">
      <c r="C3977" s="31"/>
      <c r="E3977" s="30"/>
    </row>
    <row r="3978" spans="3:5" x14ac:dyDescent="0.4">
      <c r="C3978" s="31"/>
      <c r="E3978" s="30"/>
    </row>
    <row r="3979" spans="3:5" x14ac:dyDescent="0.4">
      <c r="C3979" s="31"/>
      <c r="E3979" s="30"/>
    </row>
    <row r="3980" spans="3:5" x14ac:dyDescent="0.4">
      <c r="C3980" s="31"/>
      <c r="E3980" s="30"/>
    </row>
    <row r="3981" spans="3:5" x14ac:dyDescent="0.4">
      <c r="C3981" s="31"/>
      <c r="E3981" s="30"/>
    </row>
    <row r="3982" spans="3:5" x14ac:dyDescent="0.4">
      <c r="C3982" s="31"/>
      <c r="E3982" s="30"/>
    </row>
    <row r="3983" spans="3:5" x14ac:dyDescent="0.4">
      <c r="C3983" s="31"/>
      <c r="E3983" s="30"/>
    </row>
    <row r="3984" spans="3:5" x14ac:dyDescent="0.4">
      <c r="C3984" s="31"/>
      <c r="E3984" s="30"/>
    </row>
    <row r="3985" spans="3:5" x14ac:dyDescent="0.4">
      <c r="C3985" s="31"/>
      <c r="E3985" s="30"/>
    </row>
    <row r="3986" spans="3:5" x14ac:dyDescent="0.4">
      <c r="C3986" s="31"/>
      <c r="E3986" s="30"/>
    </row>
    <row r="3987" spans="3:5" x14ac:dyDescent="0.4">
      <c r="C3987" s="31"/>
      <c r="E3987" s="30"/>
    </row>
    <row r="3988" spans="3:5" x14ac:dyDescent="0.4">
      <c r="C3988" s="31"/>
      <c r="E3988" s="30"/>
    </row>
    <row r="3989" spans="3:5" x14ac:dyDescent="0.4">
      <c r="C3989" s="31"/>
      <c r="E3989" s="30"/>
    </row>
    <row r="3990" spans="3:5" x14ac:dyDescent="0.4">
      <c r="C3990" s="31"/>
      <c r="E3990" s="30"/>
    </row>
    <row r="3991" spans="3:5" x14ac:dyDescent="0.4">
      <c r="C3991" s="31"/>
      <c r="E3991" s="30"/>
    </row>
    <row r="3992" spans="3:5" x14ac:dyDescent="0.4">
      <c r="C3992" s="31"/>
      <c r="E3992" s="30"/>
    </row>
    <row r="3993" spans="3:5" x14ac:dyDescent="0.4">
      <c r="C3993" s="31"/>
      <c r="E3993" s="30"/>
    </row>
    <row r="3994" spans="3:5" x14ac:dyDescent="0.4">
      <c r="C3994" s="31"/>
      <c r="E3994" s="30"/>
    </row>
    <row r="3995" spans="3:5" x14ac:dyDescent="0.4">
      <c r="C3995" s="31"/>
      <c r="E3995" s="30"/>
    </row>
    <row r="3996" spans="3:5" x14ac:dyDescent="0.4">
      <c r="C3996" s="31"/>
      <c r="E3996" s="30"/>
    </row>
    <row r="3997" spans="3:5" x14ac:dyDescent="0.4">
      <c r="C3997" s="31"/>
      <c r="E3997" s="30"/>
    </row>
    <row r="3998" spans="3:5" x14ac:dyDescent="0.4">
      <c r="C3998" s="31"/>
      <c r="E3998" s="30"/>
    </row>
    <row r="3999" spans="3:5" x14ac:dyDescent="0.4">
      <c r="C3999" s="31"/>
      <c r="E3999" s="30"/>
    </row>
    <row r="4000" spans="3:5" x14ac:dyDescent="0.4">
      <c r="C4000" s="31"/>
      <c r="E4000" s="30"/>
    </row>
    <row r="4001" spans="3:5" x14ac:dyDescent="0.4">
      <c r="C4001" s="31"/>
      <c r="E4001" s="30"/>
    </row>
    <row r="4002" spans="3:5" x14ac:dyDescent="0.4">
      <c r="C4002" s="31"/>
      <c r="E4002" s="30"/>
    </row>
    <row r="4003" spans="3:5" x14ac:dyDescent="0.4">
      <c r="C4003" s="31"/>
      <c r="E4003" s="30"/>
    </row>
    <row r="4004" spans="3:5" x14ac:dyDescent="0.4">
      <c r="C4004" s="31"/>
      <c r="E4004" s="30"/>
    </row>
    <row r="4005" spans="3:5" x14ac:dyDescent="0.4">
      <c r="C4005" s="31"/>
      <c r="E4005" s="30"/>
    </row>
    <row r="4006" spans="3:5" x14ac:dyDescent="0.4">
      <c r="C4006" s="31"/>
      <c r="E4006" s="30"/>
    </row>
    <row r="4007" spans="3:5" x14ac:dyDescent="0.4">
      <c r="C4007" s="31"/>
      <c r="E4007" s="30"/>
    </row>
    <row r="4008" spans="3:5" x14ac:dyDescent="0.4">
      <c r="C4008" s="31"/>
      <c r="E4008" s="30"/>
    </row>
    <row r="4009" spans="3:5" x14ac:dyDescent="0.4">
      <c r="C4009" s="31"/>
      <c r="E4009" s="30"/>
    </row>
    <row r="4010" spans="3:5" x14ac:dyDescent="0.4">
      <c r="C4010" s="31"/>
      <c r="E4010" s="30"/>
    </row>
    <row r="4011" spans="3:5" x14ac:dyDescent="0.4">
      <c r="C4011" s="31"/>
      <c r="E4011" s="30"/>
    </row>
    <row r="4012" spans="3:5" x14ac:dyDescent="0.4">
      <c r="C4012" s="31"/>
      <c r="E4012" s="30"/>
    </row>
    <row r="4013" spans="3:5" x14ac:dyDescent="0.4">
      <c r="C4013" s="31"/>
      <c r="E4013" s="30"/>
    </row>
    <row r="4014" spans="3:5" x14ac:dyDescent="0.4">
      <c r="C4014" s="31"/>
      <c r="E4014" s="30"/>
    </row>
    <row r="4015" spans="3:5" x14ac:dyDescent="0.4">
      <c r="C4015" s="31"/>
      <c r="E4015" s="30"/>
    </row>
    <row r="4016" spans="3:5" x14ac:dyDescent="0.4">
      <c r="C4016" s="31"/>
      <c r="E4016" s="30"/>
    </row>
    <row r="4017" spans="3:5" x14ac:dyDescent="0.4">
      <c r="C4017" s="31"/>
      <c r="E4017" s="30"/>
    </row>
    <row r="4018" spans="3:5" x14ac:dyDescent="0.4">
      <c r="C4018" s="31"/>
      <c r="E4018" s="30"/>
    </row>
    <row r="4019" spans="3:5" x14ac:dyDescent="0.4">
      <c r="C4019" s="31"/>
      <c r="E4019" s="30"/>
    </row>
    <row r="4020" spans="3:5" x14ac:dyDescent="0.4">
      <c r="C4020" s="31"/>
      <c r="E4020" s="30"/>
    </row>
    <row r="4021" spans="3:5" x14ac:dyDescent="0.4">
      <c r="C4021" s="31"/>
      <c r="E4021" s="30"/>
    </row>
    <row r="4022" spans="3:5" x14ac:dyDescent="0.4">
      <c r="C4022" s="31"/>
      <c r="E4022" s="30"/>
    </row>
    <row r="4023" spans="3:5" x14ac:dyDescent="0.4">
      <c r="C4023" s="31"/>
      <c r="E4023" s="30"/>
    </row>
    <row r="4024" spans="3:5" x14ac:dyDescent="0.4">
      <c r="C4024" s="31"/>
      <c r="E4024" s="30"/>
    </row>
    <row r="4025" spans="3:5" x14ac:dyDescent="0.4">
      <c r="C4025" s="31"/>
      <c r="E4025" s="30"/>
    </row>
    <row r="4026" spans="3:5" x14ac:dyDescent="0.4">
      <c r="C4026" s="31"/>
      <c r="E4026" s="30"/>
    </row>
    <row r="4027" spans="3:5" x14ac:dyDescent="0.4">
      <c r="C4027" s="31"/>
      <c r="E4027" s="30"/>
    </row>
    <row r="4028" spans="3:5" x14ac:dyDescent="0.4">
      <c r="C4028" s="31"/>
      <c r="E4028" s="30"/>
    </row>
    <row r="4029" spans="3:5" x14ac:dyDescent="0.4">
      <c r="C4029" s="31"/>
      <c r="E4029" s="30"/>
    </row>
    <row r="4030" spans="3:5" x14ac:dyDescent="0.4">
      <c r="C4030" s="31"/>
      <c r="E4030" s="30"/>
    </row>
    <row r="4031" spans="3:5" x14ac:dyDescent="0.4">
      <c r="C4031" s="31"/>
      <c r="E4031" s="30"/>
    </row>
    <row r="4032" spans="3:5" x14ac:dyDescent="0.4">
      <c r="C4032" s="31"/>
      <c r="E4032" s="30"/>
    </row>
    <row r="4033" spans="3:5" x14ac:dyDescent="0.4">
      <c r="C4033" s="31"/>
      <c r="E4033" s="30"/>
    </row>
    <row r="4034" spans="3:5" x14ac:dyDescent="0.4">
      <c r="C4034" s="31"/>
      <c r="E4034" s="30"/>
    </row>
    <row r="4035" spans="3:5" x14ac:dyDescent="0.4">
      <c r="C4035" s="31"/>
      <c r="E4035" s="30"/>
    </row>
    <row r="4036" spans="3:5" x14ac:dyDescent="0.4">
      <c r="C4036" s="31"/>
      <c r="E4036" s="30"/>
    </row>
    <row r="4037" spans="3:5" x14ac:dyDescent="0.4">
      <c r="C4037" s="31"/>
      <c r="E4037" s="30"/>
    </row>
    <row r="4038" spans="3:5" x14ac:dyDescent="0.4">
      <c r="C4038" s="31"/>
      <c r="E4038" s="30"/>
    </row>
    <row r="4039" spans="3:5" x14ac:dyDescent="0.4">
      <c r="C4039" s="31"/>
      <c r="E4039" s="30"/>
    </row>
    <row r="4040" spans="3:5" x14ac:dyDescent="0.4">
      <c r="C4040" s="31"/>
      <c r="E4040" s="30"/>
    </row>
    <row r="4041" spans="3:5" x14ac:dyDescent="0.4">
      <c r="C4041" s="31"/>
      <c r="E4041" s="30"/>
    </row>
    <row r="4042" spans="3:5" x14ac:dyDescent="0.4">
      <c r="C4042" s="31"/>
      <c r="E4042" s="30"/>
    </row>
    <row r="4043" spans="3:5" x14ac:dyDescent="0.4">
      <c r="C4043" s="31"/>
      <c r="E4043" s="30"/>
    </row>
    <row r="4044" spans="3:5" x14ac:dyDescent="0.4">
      <c r="C4044" s="31"/>
      <c r="E4044" s="30"/>
    </row>
    <row r="4045" spans="3:5" x14ac:dyDescent="0.4">
      <c r="C4045" s="31"/>
      <c r="E4045" s="30"/>
    </row>
    <row r="4046" spans="3:5" x14ac:dyDescent="0.4">
      <c r="C4046" s="31"/>
      <c r="E4046" s="30"/>
    </row>
    <row r="4047" spans="3:5" x14ac:dyDescent="0.4">
      <c r="C4047" s="31"/>
      <c r="E4047" s="30"/>
    </row>
    <row r="4048" spans="3:5" x14ac:dyDescent="0.4">
      <c r="C4048" s="31"/>
      <c r="E4048" s="30"/>
    </row>
    <row r="4049" spans="3:5" x14ac:dyDescent="0.4">
      <c r="C4049" s="31"/>
      <c r="E4049" s="30"/>
    </row>
    <row r="4050" spans="3:5" x14ac:dyDescent="0.4">
      <c r="C4050" s="31"/>
      <c r="E4050" s="30"/>
    </row>
    <row r="4051" spans="3:5" x14ac:dyDescent="0.4">
      <c r="C4051" s="31"/>
      <c r="E4051" s="30"/>
    </row>
    <row r="4052" spans="3:5" x14ac:dyDescent="0.4">
      <c r="C4052" s="31"/>
      <c r="E4052" s="30"/>
    </row>
    <row r="4053" spans="3:5" x14ac:dyDescent="0.4">
      <c r="C4053" s="31"/>
      <c r="E4053" s="30"/>
    </row>
    <row r="4054" spans="3:5" x14ac:dyDescent="0.4">
      <c r="C4054" s="31"/>
      <c r="E4054" s="30"/>
    </row>
    <row r="4055" spans="3:5" x14ac:dyDescent="0.4">
      <c r="C4055" s="31"/>
      <c r="E4055" s="30"/>
    </row>
    <row r="4056" spans="3:5" x14ac:dyDescent="0.4">
      <c r="C4056" s="31"/>
      <c r="E4056" s="30"/>
    </row>
    <row r="4057" spans="3:5" x14ac:dyDescent="0.4">
      <c r="C4057" s="31"/>
      <c r="E4057" s="30"/>
    </row>
    <row r="4058" spans="3:5" x14ac:dyDescent="0.4">
      <c r="C4058" s="31"/>
      <c r="E4058" s="30"/>
    </row>
    <row r="4059" spans="3:5" x14ac:dyDescent="0.4">
      <c r="C4059" s="31"/>
      <c r="E4059" s="30"/>
    </row>
    <row r="4060" spans="3:5" x14ac:dyDescent="0.4">
      <c r="C4060" s="31"/>
      <c r="E4060" s="30"/>
    </row>
    <row r="4061" spans="3:5" x14ac:dyDescent="0.4">
      <c r="C4061" s="31"/>
      <c r="E4061" s="30"/>
    </row>
    <row r="4062" spans="3:5" x14ac:dyDescent="0.4">
      <c r="C4062" s="31"/>
      <c r="E4062" s="30"/>
    </row>
    <row r="4063" spans="3:5" x14ac:dyDescent="0.4">
      <c r="C4063" s="31"/>
      <c r="E4063" s="30"/>
    </row>
    <row r="4064" spans="3:5" x14ac:dyDescent="0.4">
      <c r="C4064" s="31"/>
      <c r="E4064" s="30"/>
    </row>
    <row r="4065" spans="3:5" x14ac:dyDescent="0.4">
      <c r="C4065" s="31"/>
      <c r="E4065" s="30"/>
    </row>
    <row r="4066" spans="3:5" x14ac:dyDescent="0.4">
      <c r="C4066" s="31"/>
      <c r="E4066" s="30"/>
    </row>
    <row r="4067" spans="3:5" x14ac:dyDescent="0.4">
      <c r="C4067" s="31"/>
      <c r="E4067" s="30"/>
    </row>
    <row r="4068" spans="3:5" x14ac:dyDescent="0.4">
      <c r="C4068" s="31"/>
      <c r="E4068" s="30"/>
    </row>
    <row r="4069" spans="3:5" x14ac:dyDescent="0.4">
      <c r="C4069" s="31"/>
      <c r="E4069" s="30"/>
    </row>
    <row r="4070" spans="3:5" x14ac:dyDescent="0.4">
      <c r="C4070" s="31"/>
      <c r="E4070" s="30"/>
    </row>
    <row r="4071" spans="3:5" x14ac:dyDescent="0.4">
      <c r="C4071" s="31"/>
      <c r="E4071" s="30"/>
    </row>
    <row r="4072" spans="3:5" x14ac:dyDescent="0.4">
      <c r="C4072" s="31"/>
      <c r="E4072" s="30"/>
    </row>
    <row r="4073" spans="3:5" x14ac:dyDescent="0.4">
      <c r="C4073" s="31"/>
      <c r="E4073" s="30"/>
    </row>
    <row r="4074" spans="3:5" x14ac:dyDescent="0.4">
      <c r="C4074" s="31"/>
      <c r="E4074" s="30"/>
    </row>
    <row r="4075" spans="3:5" x14ac:dyDescent="0.4">
      <c r="C4075" s="31"/>
      <c r="E4075" s="30"/>
    </row>
    <row r="4076" spans="3:5" x14ac:dyDescent="0.4">
      <c r="C4076" s="31"/>
      <c r="E4076" s="30"/>
    </row>
    <row r="4077" spans="3:5" x14ac:dyDescent="0.4">
      <c r="C4077" s="31"/>
      <c r="E4077" s="30"/>
    </row>
    <row r="4078" spans="3:5" x14ac:dyDescent="0.4">
      <c r="C4078" s="31"/>
      <c r="E4078" s="30"/>
    </row>
    <row r="4079" spans="3:5" x14ac:dyDescent="0.4">
      <c r="C4079" s="31"/>
      <c r="E4079" s="30"/>
    </row>
    <row r="4080" spans="3:5" x14ac:dyDescent="0.4">
      <c r="C4080" s="31"/>
      <c r="E4080" s="30"/>
    </row>
    <row r="4081" spans="3:5" x14ac:dyDescent="0.4">
      <c r="C4081" s="31"/>
      <c r="E4081" s="30"/>
    </row>
    <row r="4082" spans="3:5" x14ac:dyDescent="0.4">
      <c r="C4082" s="31"/>
      <c r="E4082" s="30"/>
    </row>
    <row r="4083" spans="3:5" x14ac:dyDescent="0.4">
      <c r="C4083" s="31"/>
      <c r="E4083" s="30"/>
    </row>
    <row r="4084" spans="3:5" x14ac:dyDescent="0.4">
      <c r="C4084" s="31"/>
      <c r="E4084" s="30"/>
    </row>
    <row r="4085" spans="3:5" x14ac:dyDescent="0.4">
      <c r="C4085" s="31"/>
      <c r="E4085" s="30"/>
    </row>
    <row r="4086" spans="3:5" x14ac:dyDescent="0.4">
      <c r="C4086" s="31"/>
      <c r="E4086" s="30"/>
    </row>
    <row r="4087" spans="3:5" x14ac:dyDescent="0.4">
      <c r="C4087" s="31"/>
      <c r="E4087" s="30"/>
    </row>
    <row r="4088" spans="3:5" x14ac:dyDescent="0.4">
      <c r="C4088" s="31"/>
      <c r="E4088" s="30"/>
    </row>
    <row r="4089" spans="3:5" x14ac:dyDescent="0.4">
      <c r="C4089" s="31"/>
      <c r="E4089" s="30"/>
    </row>
    <row r="4090" spans="3:5" x14ac:dyDescent="0.4">
      <c r="C4090" s="31"/>
      <c r="E4090" s="30"/>
    </row>
    <row r="4091" spans="3:5" x14ac:dyDescent="0.4">
      <c r="C4091" s="31"/>
      <c r="E4091" s="30"/>
    </row>
    <row r="4092" spans="3:5" x14ac:dyDescent="0.4">
      <c r="C4092" s="31"/>
      <c r="E4092" s="30"/>
    </row>
    <row r="4093" spans="3:5" x14ac:dyDescent="0.4">
      <c r="C4093" s="31"/>
      <c r="E4093" s="30"/>
    </row>
    <row r="4094" spans="3:5" x14ac:dyDescent="0.4">
      <c r="C4094" s="31"/>
      <c r="E4094" s="30"/>
    </row>
    <row r="4095" spans="3:5" x14ac:dyDescent="0.4">
      <c r="C4095" s="31"/>
      <c r="E4095" s="30"/>
    </row>
    <row r="4096" spans="3:5" x14ac:dyDescent="0.4">
      <c r="C4096" s="31"/>
      <c r="E4096" s="30"/>
    </row>
    <row r="4097" spans="3:5" x14ac:dyDescent="0.4">
      <c r="C4097" s="31"/>
      <c r="E4097" s="30"/>
    </row>
    <row r="4098" spans="3:5" x14ac:dyDescent="0.4">
      <c r="C4098" s="31"/>
      <c r="E4098" s="30"/>
    </row>
    <row r="4099" spans="3:5" x14ac:dyDescent="0.4">
      <c r="C4099" s="31"/>
      <c r="E4099" s="30"/>
    </row>
    <row r="4100" spans="3:5" x14ac:dyDescent="0.4">
      <c r="C4100" s="31"/>
      <c r="E4100" s="30"/>
    </row>
    <row r="4101" spans="3:5" x14ac:dyDescent="0.4">
      <c r="C4101" s="31"/>
      <c r="E4101" s="30"/>
    </row>
    <row r="4102" spans="3:5" x14ac:dyDescent="0.4">
      <c r="C4102" s="31"/>
      <c r="E4102" s="30"/>
    </row>
    <row r="4103" spans="3:5" x14ac:dyDescent="0.4">
      <c r="C4103" s="31"/>
      <c r="E4103" s="30"/>
    </row>
    <row r="4104" spans="3:5" x14ac:dyDescent="0.4">
      <c r="C4104" s="31"/>
      <c r="E4104" s="30"/>
    </row>
    <row r="4105" spans="3:5" x14ac:dyDescent="0.4">
      <c r="C4105" s="31"/>
      <c r="E4105" s="30"/>
    </row>
    <row r="4106" spans="3:5" x14ac:dyDescent="0.4">
      <c r="C4106" s="31"/>
      <c r="E4106" s="30"/>
    </row>
    <row r="4107" spans="3:5" x14ac:dyDescent="0.4">
      <c r="C4107" s="31"/>
      <c r="E4107" s="30"/>
    </row>
    <row r="4108" spans="3:5" x14ac:dyDescent="0.4">
      <c r="C4108" s="31"/>
      <c r="E4108" s="30"/>
    </row>
    <row r="4109" spans="3:5" x14ac:dyDescent="0.4">
      <c r="C4109" s="31"/>
      <c r="E4109" s="30"/>
    </row>
    <row r="4110" spans="3:5" x14ac:dyDescent="0.4">
      <c r="C4110" s="31"/>
      <c r="E4110" s="30"/>
    </row>
    <row r="4111" spans="3:5" x14ac:dyDescent="0.4">
      <c r="C4111" s="31"/>
      <c r="E4111" s="30"/>
    </row>
    <row r="4112" spans="3:5" x14ac:dyDescent="0.4">
      <c r="C4112" s="31"/>
      <c r="E4112" s="30"/>
    </row>
    <row r="4113" spans="3:5" x14ac:dyDescent="0.4">
      <c r="C4113" s="31"/>
      <c r="E4113" s="30"/>
    </row>
    <row r="4114" spans="3:5" x14ac:dyDescent="0.4">
      <c r="C4114" s="31"/>
      <c r="E4114" s="30"/>
    </row>
    <row r="4115" spans="3:5" x14ac:dyDescent="0.4">
      <c r="C4115" s="31"/>
      <c r="E4115" s="30"/>
    </row>
    <row r="4116" spans="3:5" x14ac:dyDescent="0.4">
      <c r="C4116" s="31"/>
      <c r="E4116" s="30"/>
    </row>
    <row r="4117" spans="3:5" x14ac:dyDescent="0.4">
      <c r="C4117" s="31"/>
      <c r="E4117" s="30"/>
    </row>
    <row r="4118" spans="3:5" x14ac:dyDescent="0.4">
      <c r="C4118" s="31"/>
      <c r="E4118" s="30"/>
    </row>
    <row r="4119" spans="3:5" x14ac:dyDescent="0.4">
      <c r="C4119" s="31"/>
      <c r="E4119" s="30"/>
    </row>
    <row r="4120" spans="3:5" x14ac:dyDescent="0.4">
      <c r="C4120" s="31"/>
      <c r="E4120" s="30"/>
    </row>
    <row r="4121" spans="3:5" x14ac:dyDescent="0.4">
      <c r="C4121" s="31"/>
      <c r="E4121" s="30"/>
    </row>
    <row r="4122" spans="3:5" x14ac:dyDescent="0.4">
      <c r="C4122" s="31"/>
      <c r="E4122" s="30"/>
    </row>
    <row r="4123" spans="3:5" x14ac:dyDescent="0.4">
      <c r="C4123" s="31"/>
      <c r="E4123" s="30"/>
    </row>
    <row r="4124" spans="3:5" x14ac:dyDescent="0.4">
      <c r="C4124" s="31"/>
      <c r="E4124" s="30"/>
    </row>
    <row r="4125" spans="3:5" x14ac:dyDescent="0.4">
      <c r="C4125" s="31"/>
      <c r="E4125" s="30"/>
    </row>
    <row r="4126" spans="3:5" x14ac:dyDescent="0.4">
      <c r="C4126" s="31"/>
      <c r="E4126" s="30"/>
    </row>
    <row r="4127" spans="3:5" x14ac:dyDescent="0.4">
      <c r="C4127" s="31"/>
      <c r="E4127" s="30"/>
    </row>
    <row r="4128" spans="3:5" x14ac:dyDescent="0.4">
      <c r="C4128" s="31"/>
      <c r="E4128" s="30"/>
    </row>
    <row r="4129" spans="3:5" x14ac:dyDescent="0.4">
      <c r="C4129" s="31"/>
      <c r="E4129" s="30"/>
    </row>
    <row r="4130" spans="3:5" x14ac:dyDescent="0.4">
      <c r="C4130" s="31"/>
      <c r="E4130" s="30"/>
    </row>
    <row r="4131" spans="3:5" x14ac:dyDescent="0.4">
      <c r="C4131" s="31"/>
      <c r="E4131" s="30"/>
    </row>
    <row r="4132" spans="3:5" x14ac:dyDescent="0.4">
      <c r="C4132" s="31"/>
      <c r="E4132" s="30"/>
    </row>
    <row r="4133" spans="3:5" x14ac:dyDescent="0.4">
      <c r="C4133" s="31"/>
      <c r="E4133" s="30"/>
    </row>
    <row r="4134" spans="3:5" x14ac:dyDescent="0.4">
      <c r="C4134" s="31"/>
      <c r="E4134" s="30"/>
    </row>
    <row r="4135" spans="3:5" x14ac:dyDescent="0.4">
      <c r="C4135" s="31"/>
      <c r="E4135" s="30"/>
    </row>
    <row r="4136" spans="3:5" x14ac:dyDescent="0.4">
      <c r="C4136" s="31"/>
      <c r="E4136" s="30"/>
    </row>
    <row r="4137" spans="3:5" x14ac:dyDescent="0.4">
      <c r="C4137" s="31"/>
      <c r="E4137" s="30"/>
    </row>
    <row r="4138" spans="3:5" x14ac:dyDescent="0.4">
      <c r="C4138" s="31"/>
      <c r="E4138" s="30"/>
    </row>
    <row r="4139" spans="3:5" x14ac:dyDescent="0.4">
      <c r="C4139" s="31"/>
      <c r="E4139" s="30"/>
    </row>
    <row r="4140" spans="3:5" x14ac:dyDescent="0.4">
      <c r="C4140" s="31"/>
      <c r="E4140" s="30"/>
    </row>
    <row r="4141" spans="3:5" x14ac:dyDescent="0.4">
      <c r="C4141" s="31"/>
      <c r="E4141" s="30"/>
    </row>
    <row r="4142" spans="3:5" x14ac:dyDescent="0.4">
      <c r="C4142" s="31"/>
      <c r="E4142" s="30"/>
    </row>
    <row r="4143" spans="3:5" x14ac:dyDescent="0.4">
      <c r="C4143" s="31"/>
      <c r="E4143" s="30"/>
    </row>
    <row r="4144" spans="3:5" x14ac:dyDescent="0.4">
      <c r="C4144" s="31"/>
      <c r="E4144" s="30"/>
    </row>
    <row r="4145" spans="3:5" x14ac:dyDescent="0.4">
      <c r="C4145" s="31"/>
      <c r="E4145" s="30"/>
    </row>
    <row r="4146" spans="3:5" x14ac:dyDescent="0.4">
      <c r="C4146" s="31"/>
      <c r="E4146" s="30"/>
    </row>
    <row r="4147" spans="3:5" x14ac:dyDescent="0.4">
      <c r="C4147" s="31"/>
      <c r="E4147" s="30"/>
    </row>
    <row r="4148" spans="3:5" x14ac:dyDescent="0.4">
      <c r="C4148" s="31"/>
      <c r="E4148" s="30"/>
    </row>
    <row r="4149" spans="3:5" x14ac:dyDescent="0.4">
      <c r="C4149" s="31"/>
      <c r="E4149" s="30"/>
    </row>
    <row r="4150" spans="3:5" x14ac:dyDescent="0.4">
      <c r="C4150" s="31"/>
      <c r="E4150" s="30"/>
    </row>
    <row r="4151" spans="3:5" x14ac:dyDescent="0.4">
      <c r="C4151" s="31"/>
      <c r="E4151" s="30"/>
    </row>
    <row r="4152" spans="3:5" x14ac:dyDescent="0.4">
      <c r="C4152" s="31"/>
      <c r="E4152" s="30"/>
    </row>
    <row r="4153" spans="3:5" x14ac:dyDescent="0.4">
      <c r="C4153" s="31"/>
      <c r="E4153" s="30"/>
    </row>
    <row r="4154" spans="3:5" x14ac:dyDescent="0.4">
      <c r="C4154" s="31"/>
      <c r="E4154" s="30"/>
    </row>
    <row r="4155" spans="3:5" x14ac:dyDescent="0.4">
      <c r="C4155" s="31"/>
      <c r="E4155" s="30"/>
    </row>
    <row r="4156" spans="3:5" x14ac:dyDescent="0.4">
      <c r="C4156" s="31"/>
      <c r="E4156" s="30"/>
    </row>
    <row r="4157" spans="3:5" x14ac:dyDescent="0.4">
      <c r="C4157" s="31"/>
      <c r="E4157" s="30"/>
    </row>
    <row r="4158" spans="3:5" x14ac:dyDescent="0.4">
      <c r="C4158" s="31"/>
      <c r="E4158" s="30"/>
    </row>
    <row r="4159" spans="3:5" x14ac:dyDescent="0.4">
      <c r="C4159" s="31"/>
      <c r="E4159" s="30"/>
    </row>
    <row r="4160" spans="3:5" x14ac:dyDescent="0.4">
      <c r="C4160" s="31"/>
      <c r="E4160" s="30"/>
    </row>
    <row r="4161" spans="3:5" x14ac:dyDescent="0.4">
      <c r="C4161" s="31"/>
      <c r="E4161" s="30"/>
    </row>
    <row r="4162" spans="3:5" x14ac:dyDescent="0.4">
      <c r="C4162" s="31"/>
      <c r="E4162" s="30"/>
    </row>
    <row r="4163" spans="3:5" x14ac:dyDescent="0.4">
      <c r="C4163" s="31"/>
      <c r="E4163" s="30"/>
    </row>
    <row r="4164" spans="3:5" x14ac:dyDescent="0.4">
      <c r="C4164" s="31"/>
      <c r="E4164" s="30"/>
    </row>
    <row r="4165" spans="3:5" x14ac:dyDescent="0.4">
      <c r="C4165" s="31"/>
      <c r="E4165" s="30"/>
    </row>
    <row r="4166" spans="3:5" x14ac:dyDescent="0.4">
      <c r="C4166" s="31"/>
      <c r="E4166" s="30"/>
    </row>
    <row r="4167" spans="3:5" x14ac:dyDescent="0.4">
      <c r="C4167" s="31"/>
      <c r="E4167" s="30"/>
    </row>
    <row r="4168" spans="3:5" x14ac:dyDescent="0.4">
      <c r="C4168" s="31"/>
      <c r="E4168" s="30"/>
    </row>
    <row r="4169" spans="3:5" x14ac:dyDescent="0.4">
      <c r="C4169" s="31"/>
      <c r="E4169" s="30"/>
    </row>
    <row r="4170" spans="3:5" x14ac:dyDescent="0.4">
      <c r="C4170" s="31"/>
      <c r="E4170" s="30"/>
    </row>
    <row r="4171" spans="3:5" x14ac:dyDescent="0.4">
      <c r="C4171" s="31"/>
      <c r="E4171" s="30"/>
    </row>
    <row r="4172" spans="3:5" x14ac:dyDescent="0.4">
      <c r="C4172" s="31"/>
      <c r="E4172" s="30"/>
    </row>
    <row r="4173" spans="3:5" x14ac:dyDescent="0.4">
      <c r="C4173" s="31"/>
      <c r="E4173" s="30"/>
    </row>
    <row r="4174" spans="3:5" x14ac:dyDescent="0.4">
      <c r="C4174" s="31"/>
      <c r="E4174" s="30"/>
    </row>
    <row r="4175" spans="3:5" x14ac:dyDescent="0.4">
      <c r="C4175" s="31"/>
      <c r="E4175" s="30"/>
    </row>
    <row r="4176" spans="3:5" x14ac:dyDescent="0.4">
      <c r="C4176" s="31"/>
      <c r="E4176" s="30"/>
    </row>
    <row r="4177" spans="3:5" x14ac:dyDescent="0.4">
      <c r="C4177" s="31"/>
      <c r="E4177" s="30"/>
    </row>
    <row r="4178" spans="3:5" x14ac:dyDescent="0.4">
      <c r="C4178" s="31"/>
      <c r="E4178" s="30"/>
    </row>
    <row r="4179" spans="3:5" x14ac:dyDescent="0.4">
      <c r="C4179" s="31"/>
      <c r="E4179" s="30"/>
    </row>
    <row r="4180" spans="3:5" x14ac:dyDescent="0.4">
      <c r="C4180" s="31"/>
      <c r="E4180" s="30"/>
    </row>
    <row r="4181" spans="3:5" x14ac:dyDescent="0.4">
      <c r="C4181" s="31"/>
      <c r="E4181" s="30"/>
    </row>
    <row r="4182" spans="3:5" x14ac:dyDescent="0.4">
      <c r="C4182" s="31"/>
      <c r="E4182" s="30"/>
    </row>
    <row r="4183" spans="3:5" x14ac:dyDescent="0.4">
      <c r="C4183" s="31"/>
      <c r="E4183" s="30"/>
    </row>
    <row r="4184" spans="3:5" x14ac:dyDescent="0.4">
      <c r="C4184" s="31"/>
      <c r="E4184" s="30"/>
    </row>
    <row r="4185" spans="3:5" x14ac:dyDescent="0.4">
      <c r="C4185" s="31"/>
      <c r="E4185" s="30"/>
    </row>
    <row r="4186" spans="3:5" x14ac:dyDescent="0.4">
      <c r="C4186" s="31"/>
      <c r="E4186" s="30"/>
    </row>
    <row r="4187" spans="3:5" x14ac:dyDescent="0.4">
      <c r="C4187" s="31"/>
      <c r="E4187" s="30"/>
    </row>
    <row r="4188" spans="3:5" x14ac:dyDescent="0.4">
      <c r="C4188" s="31"/>
      <c r="E4188" s="30"/>
    </row>
    <row r="4189" spans="3:5" x14ac:dyDescent="0.4">
      <c r="C4189" s="31"/>
      <c r="E4189" s="30"/>
    </row>
    <row r="4190" spans="3:5" x14ac:dyDescent="0.4">
      <c r="C4190" s="31"/>
      <c r="E4190" s="30"/>
    </row>
    <row r="4191" spans="3:5" x14ac:dyDescent="0.4">
      <c r="C4191" s="31"/>
      <c r="E4191" s="30"/>
    </row>
    <row r="4192" spans="3:5" x14ac:dyDescent="0.4">
      <c r="C4192" s="31"/>
      <c r="E4192" s="30"/>
    </row>
    <row r="4193" spans="3:5" x14ac:dyDescent="0.4">
      <c r="C4193" s="31"/>
      <c r="E4193" s="30"/>
    </row>
    <row r="4194" spans="3:5" x14ac:dyDescent="0.4">
      <c r="C4194" s="31"/>
      <c r="E4194" s="30"/>
    </row>
    <row r="4195" spans="3:5" x14ac:dyDescent="0.4">
      <c r="C4195" s="31"/>
      <c r="E4195" s="30"/>
    </row>
    <row r="4196" spans="3:5" x14ac:dyDescent="0.4">
      <c r="C4196" s="31"/>
      <c r="E4196" s="30"/>
    </row>
    <row r="4197" spans="3:5" x14ac:dyDescent="0.4">
      <c r="C4197" s="31"/>
      <c r="E4197" s="30"/>
    </row>
    <row r="4198" spans="3:5" x14ac:dyDescent="0.4">
      <c r="C4198" s="31"/>
      <c r="E4198" s="30"/>
    </row>
    <row r="4199" spans="3:5" x14ac:dyDescent="0.4">
      <c r="C4199" s="31"/>
      <c r="E4199" s="30"/>
    </row>
    <row r="4200" spans="3:5" x14ac:dyDescent="0.4">
      <c r="C4200" s="31"/>
      <c r="E4200" s="30"/>
    </row>
    <row r="4201" spans="3:5" x14ac:dyDescent="0.4">
      <c r="C4201" s="31"/>
      <c r="E4201" s="30"/>
    </row>
    <row r="4202" spans="3:5" x14ac:dyDescent="0.4">
      <c r="C4202" s="31"/>
      <c r="E4202" s="30"/>
    </row>
    <row r="4203" spans="3:5" x14ac:dyDescent="0.4">
      <c r="C4203" s="31"/>
      <c r="E4203" s="30"/>
    </row>
    <row r="4204" spans="3:5" x14ac:dyDescent="0.4">
      <c r="C4204" s="31"/>
      <c r="E4204" s="30"/>
    </row>
    <row r="4205" spans="3:5" x14ac:dyDescent="0.4">
      <c r="C4205" s="31"/>
      <c r="E4205" s="30"/>
    </row>
    <row r="4206" spans="3:5" x14ac:dyDescent="0.4">
      <c r="C4206" s="31"/>
      <c r="E4206" s="30"/>
    </row>
    <row r="4207" spans="3:5" x14ac:dyDescent="0.4">
      <c r="C4207" s="31"/>
      <c r="E4207" s="30"/>
    </row>
    <row r="4208" spans="3:5" x14ac:dyDescent="0.4">
      <c r="C4208" s="31"/>
      <c r="E4208" s="30"/>
    </row>
    <row r="4209" spans="3:5" x14ac:dyDescent="0.4">
      <c r="C4209" s="31"/>
      <c r="E4209" s="30"/>
    </row>
    <row r="4210" spans="3:5" x14ac:dyDescent="0.4">
      <c r="C4210" s="31"/>
      <c r="E4210" s="30"/>
    </row>
    <row r="4211" spans="3:5" x14ac:dyDescent="0.4">
      <c r="C4211" s="31"/>
      <c r="E4211" s="30"/>
    </row>
    <row r="4212" spans="3:5" x14ac:dyDescent="0.4">
      <c r="C4212" s="31"/>
      <c r="E4212" s="30"/>
    </row>
    <row r="4213" spans="3:5" x14ac:dyDescent="0.4">
      <c r="C4213" s="31"/>
      <c r="E4213" s="30"/>
    </row>
    <row r="4214" spans="3:5" x14ac:dyDescent="0.4">
      <c r="C4214" s="31"/>
      <c r="E4214" s="30"/>
    </row>
    <row r="4215" spans="3:5" x14ac:dyDescent="0.4">
      <c r="C4215" s="31"/>
      <c r="E4215" s="30"/>
    </row>
    <row r="4216" spans="3:5" x14ac:dyDescent="0.4">
      <c r="C4216" s="31"/>
      <c r="E4216" s="30"/>
    </row>
    <row r="4217" spans="3:5" x14ac:dyDescent="0.4">
      <c r="C4217" s="31"/>
      <c r="E4217" s="30"/>
    </row>
    <row r="4218" spans="3:5" x14ac:dyDescent="0.4">
      <c r="C4218" s="31"/>
      <c r="E4218" s="30"/>
    </row>
    <row r="4219" spans="3:5" x14ac:dyDescent="0.4">
      <c r="C4219" s="31"/>
      <c r="E4219" s="30"/>
    </row>
    <row r="4220" spans="3:5" x14ac:dyDescent="0.4">
      <c r="C4220" s="31"/>
      <c r="E4220" s="30"/>
    </row>
    <row r="4221" spans="3:5" x14ac:dyDescent="0.4">
      <c r="C4221" s="31"/>
      <c r="E4221" s="30"/>
    </row>
    <row r="4222" spans="3:5" x14ac:dyDescent="0.4">
      <c r="C4222" s="31"/>
      <c r="E4222" s="30"/>
    </row>
    <row r="4223" spans="3:5" x14ac:dyDescent="0.4">
      <c r="C4223" s="31"/>
      <c r="E4223" s="30"/>
    </row>
    <row r="4224" spans="3:5" x14ac:dyDescent="0.4">
      <c r="C4224" s="31"/>
      <c r="E4224" s="30"/>
    </row>
    <row r="4225" spans="3:5" x14ac:dyDescent="0.4">
      <c r="C4225" s="31"/>
      <c r="E4225" s="30"/>
    </row>
    <row r="4226" spans="3:5" x14ac:dyDescent="0.4">
      <c r="C4226" s="31"/>
      <c r="E4226" s="30"/>
    </row>
    <row r="4227" spans="3:5" x14ac:dyDescent="0.4">
      <c r="C4227" s="31"/>
      <c r="E4227" s="30"/>
    </row>
    <row r="4228" spans="3:5" x14ac:dyDescent="0.4">
      <c r="C4228" s="31"/>
      <c r="E4228" s="30"/>
    </row>
    <row r="4229" spans="3:5" x14ac:dyDescent="0.4">
      <c r="C4229" s="31"/>
      <c r="E4229" s="30"/>
    </row>
    <row r="4230" spans="3:5" x14ac:dyDescent="0.4">
      <c r="C4230" s="31"/>
      <c r="E4230" s="30"/>
    </row>
    <row r="4231" spans="3:5" x14ac:dyDescent="0.4">
      <c r="C4231" s="31"/>
      <c r="E4231" s="30"/>
    </row>
    <row r="4232" spans="3:5" x14ac:dyDescent="0.4">
      <c r="C4232" s="31"/>
      <c r="E4232" s="30"/>
    </row>
    <row r="4233" spans="3:5" x14ac:dyDescent="0.4">
      <c r="C4233" s="31"/>
      <c r="E4233" s="30"/>
    </row>
    <row r="4234" spans="3:5" x14ac:dyDescent="0.4">
      <c r="C4234" s="31"/>
      <c r="E4234" s="30"/>
    </row>
    <row r="4235" spans="3:5" x14ac:dyDescent="0.4">
      <c r="C4235" s="31"/>
      <c r="E4235" s="30"/>
    </row>
    <row r="4236" spans="3:5" x14ac:dyDescent="0.4">
      <c r="C4236" s="31"/>
      <c r="E4236" s="30"/>
    </row>
    <row r="4237" spans="3:5" x14ac:dyDescent="0.4">
      <c r="C4237" s="31"/>
      <c r="E4237" s="30"/>
    </row>
    <row r="4238" spans="3:5" x14ac:dyDescent="0.4">
      <c r="C4238" s="31"/>
      <c r="E4238" s="30"/>
    </row>
    <row r="4239" spans="3:5" x14ac:dyDescent="0.4">
      <c r="C4239" s="31"/>
      <c r="E4239" s="30"/>
    </row>
    <row r="4240" spans="3:5" x14ac:dyDescent="0.4">
      <c r="C4240" s="31"/>
      <c r="E4240" s="30"/>
    </row>
    <row r="4241" spans="3:5" x14ac:dyDescent="0.4">
      <c r="C4241" s="31"/>
      <c r="E4241" s="30"/>
    </row>
    <row r="4242" spans="3:5" x14ac:dyDescent="0.4">
      <c r="C4242" s="31"/>
      <c r="E4242" s="30"/>
    </row>
    <row r="4243" spans="3:5" x14ac:dyDescent="0.4">
      <c r="C4243" s="31"/>
      <c r="E4243" s="30"/>
    </row>
    <row r="4244" spans="3:5" x14ac:dyDescent="0.4">
      <c r="C4244" s="31"/>
      <c r="E4244" s="30"/>
    </row>
    <row r="4245" spans="3:5" x14ac:dyDescent="0.4">
      <c r="C4245" s="31"/>
      <c r="E4245" s="30"/>
    </row>
    <row r="4246" spans="3:5" x14ac:dyDescent="0.4">
      <c r="C4246" s="31"/>
      <c r="E4246" s="30"/>
    </row>
    <row r="4247" spans="3:5" x14ac:dyDescent="0.4">
      <c r="C4247" s="31"/>
      <c r="E4247" s="30"/>
    </row>
    <row r="4248" spans="3:5" x14ac:dyDescent="0.4">
      <c r="C4248" s="31"/>
      <c r="E4248" s="30"/>
    </row>
    <row r="4249" spans="3:5" x14ac:dyDescent="0.4">
      <c r="C4249" s="31"/>
      <c r="E4249" s="30"/>
    </row>
    <row r="4250" spans="3:5" x14ac:dyDescent="0.4">
      <c r="C4250" s="31"/>
      <c r="E4250" s="30"/>
    </row>
    <row r="4251" spans="3:5" x14ac:dyDescent="0.4">
      <c r="C4251" s="31"/>
      <c r="E4251" s="30"/>
    </row>
    <row r="4252" spans="3:5" x14ac:dyDescent="0.4">
      <c r="C4252" s="31"/>
      <c r="E4252" s="30"/>
    </row>
    <row r="4253" spans="3:5" x14ac:dyDescent="0.4">
      <c r="C4253" s="31"/>
      <c r="E4253" s="30"/>
    </row>
    <row r="4254" spans="3:5" x14ac:dyDescent="0.4">
      <c r="C4254" s="31"/>
      <c r="E4254" s="30"/>
    </row>
    <row r="4255" spans="3:5" x14ac:dyDescent="0.4">
      <c r="C4255" s="31"/>
      <c r="E4255" s="30"/>
    </row>
    <row r="4256" spans="3:5" x14ac:dyDescent="0.4">
      <c r="C4256" s="31"/>
      <c r="E4256" s="30"/>
    </row>
    <row r="4257" spans="3:5" x14ac:dyDescent="0.4">
      <c r="C4257" s="31"/>
      <c r="E4257" s="30"/>
    </row>
    <row r="4258" spans="3:5" x14ac:dyDescent="0.4">
      <c r="C4258" s="31"/>
      <c r="E4258" s="30"/>
    </row>
    <row r="4259" spans="3:5" x14ac:dyDescent="0.4">
      <c r="C4259" s="31"/>
      <c r="E4259" s="30"/>
    </row>
    <row r="4260" spans="3:5" x14ac:dyDescent="0.4">
      <c r="C4260" s="31"/>
      <c r="E4260" s="30"/>
    </row>
    <row r="4261" spans="3:5" x14ac:dyDescent="0.4">
      <c r="C4261" s="31"/>
      <c r="E4261" s="30"/>
    </row>
    <row r="4262" spans="3:5" x14ac:dyDescent="0.4">
      <c r="C4262" s="31"/>
      <c r="E4262" s="30"/>
    </row>
    <row r="4263" spans="3:5" x14ac:dyDescent="0.4">
      <c r="C4263" s="31"/>
      <c r="E4263" s="30"/>
    </row>
    <row r="4264" spans="3:5" x14ac:dyDescent="0.4">
      <c r="C4264" s="31"/>
      <c r="E4264" s="30"/>
    </row>
    <row r="4265" spans="3:5" x14ac:dyDescent="0.4">
      <c r="C4265" s="31"/>
      <c r="E4265" s="30"/>
    </row>
    <row r="4266" spans="3:5" x14ac:dyDescent="0.4">
      <c r="C4266" s="31"/>
      <c r="E4266" s="30"/>
    </row>
    <row r="4267" spans="3:5" x14ac:dyDescent="0.4">
      <c r="C4267" s="31"/>
      <c r="E4267" s="30"/>
    </row>
    <row r="4268" spans="3:5" x14ac:dyDescent="0.4">
      <c r="C4268" s="31"/>
      <c r="E4268" s="30"/>
    </row>
    <row r="4269" spans="3:5" x14ac:dyDescent="0.4">
      <c r="C4269" s="31"/>
      <c r="E4269" s="30"/>
    </row>
    <row r="4270" spans="3:5" x14ac:dyDescent="0.4">
      <c r="C4270" s="31"/>
      <c r="E4270" s="30"/>
    </row>
    <row r="4271" spans="3:5" x14ac:dyDescent="0.4">
      <c r="C4271" s="31"/>
      <c r="E4271" s="30"/>
    </row>
    <row r="4272" spans="3:5" x14ac:dyDescent="0.4">
      <c r="C4272" s="31"/>
      <c r="E4272" s="30"/>
    </row>
    <row r="4273" spans="3:5" x14ac:dyDescent="0.4">
      <c r="C4273" s="31"/>
      <c r="E4273" s="30"/>
    </row>
    <row r="4274" spans="3:5" x14ac:dyDescent="0.4">
      <c r="C4274" s="31"/>
      <c r="E4274" s="30"/>
    </row>
    <row r="4275" spans="3:5" x14ac:dyDescent="0.4">
      <c r="C4275" s="31"/>
      <c r="E4275" s="30"/>
    </row>
    <row r="4276" spans="3:5" x14ac:dyDescent="0.4">
      <c r="C4276" s="31"/>
      <c r="E4276" s="30"/>
    </row>
    <row r="4277" spans="3:5" x14ac:dyDescent="0.4">
      <c r="C4277" s="31"/>
      <c r="E4277" s="30"/>
    </row>
    <row r="4278" spans="3:5" x14ac:dyDescent="0.4">
      <c r="C4278" s="31"/>
      <c r="E4278" s="30"/>
    </row>
    <row r="4279" spans="3:5" x14ac:dyDescent="0.4">
      <c r="C4279" s="31"/>
      <c r="E4279" s="30"/>
    </row>
    <row r="4280" spans="3:5" x14ac:dyDescent="0.4">
      <c r="C4280" s="31"/>
      <c r="E4280" s="30"/>
    </row>
    <row r="4281" spans="3:5" x14ac:dyDescent="0.4">
      <c r="C4281" s="31"/>
      <c r="E4281" s="30"/>
    </row>
    <row r="4282" spans="3:5" x14ac:dyDescent="0.4">
      <c r="C4282" s="31"/>
      <c r="E4282" s="30"/>
    </row>
    <row r="4283" spans="3:5" x14ac:dyDescent="0.4">
      <c r="C4283" s="31"/>
      <c r="E4283" s="30"/>
    </row>
    <row r="4284" spans="3:5" x14ac:dyDescent="0.4">
      <c r="C4284" s="31"/>
      <c r="E4284" s="30"/>
    </row>
    <row r="4285" spans="3:5" x14ac:dyDescent="0.4">
      <c r="C4285" s="31"/>
      <c r="E4285" s="30"/>
    </row>
    <row r="4286" spans="3:5" x14ac:dyDescent="0.4">
      <c r="C4286" s="31"/>
      <c r="E4286" s="30"/>
    </row>
    <row r="4287" spans="3:5" x14ac:dyDescent="0.4">
      <c r="C4287" s="31"/>
      <c r="E4287" s="30"/>
    </row>
    <row r="4288" spans="3:5" x14ac:dyDescent="0.4">
      <c r="C4288" s="31"/>
      <c r="E4288" s="30"/>
    </row>
    <row r="4289" spans="3:5" x14ac:dyDescent="0.4">
      <c r="C4289" s="31"/>
      <c r="E4289" s="30"/>
    </row>
    <row r="4290" spans="3:5" x14ac:dyDescent="0.4">
      <c r="C4290" s="31"/>
      <c r="E4290" s="30"/>
    </row>
    <row r="4291" spans="3:5" x14ac:dyDescent="0.4">
      <c r="C4291" s="31"/>
      <c r="E4291" s="30"/>
    </row>
    <row r="4292" spans="3:5" x14ac:dyDescent="0.4">
      <c r="C4292" s="31"/>
      <c r="E4292" s="30"/>
    </row>
    <row r="4293" spans="3:5" x14ac:dyDescent="0.4">
      <c r="C4293" s="31"/>
      <c r="E4293" s="30"/>
    </row>
    <row r="4294" spans="3:5" x14ac:dyDescent="0.4">
      <c r="C4294" s="31"/>
      <c r="E4294" s="30"/>
    </row>
    <row r="4295" spans="3:5" x14ac:dyDescent="0.4">
      <c r="C4295" s="31"/>
      <c r="E4295" s="30"/>
    </row>
    <row r="4296" spans="3:5" x14ac:dyDescent="0.4">
      <c r="C4296" s="31"/>
      <c r="E4296" s="30"/>
    </row>
    <row r="4297" spans="3:5" x14ac:dyDescent="0.4">
      <c r="C4297" s="31"/>
      <c r="E4297" s="30"/>
    </row>
    <row r="4298" spans="3:5" x14ac:dyDescent="0.4">
      <c r="C4298" s="31"/>
      <c r="E4298" s="30"/>
    </row>
    <row r="4299" spans="3:5" x14ac:dyDescent="0.4">
      <c r="C4299" s="31"/>
      <c r="E4299" s="30"/>
    </row>
    <row r="4300" spans="3:5" x14ac:dyDescent="0.4">
      <c r="C4300" s="31"/>
      <c r="E4300" s="30"/>
    </row>
    <row r="4301" spans="3:5" x14ac:dyDescent="0.4">
      <c r="C4301" s="31"/>
      <c r="E4301" s="30"/>
    </row>
    <row r="4302" spans="3:5" x14ac:dyDescent="0.4">
      <c r="C4302" s="31"/>
      <c r="E4302" s="30"/>
    </row>
    <row r="4303" spans="3:5" x14ac:dyDescent="0.4">
      <c r="C4303" s="31"/>
      <c r="E4303" s="30"/>
    </row>
    <row r="4304" spans="3:5" x14ac:dyDescent="0.4">
      <c r="C4304" s="31"/>
      <c r="E4304" s="30"/>
    </row>
    <row r="4305" spans="3:5" x14ac:dyDescent="0.4">
      <c r="C4305" s="31"/>
      <c r="E4305" s="30"/>
    </row>
    <row r="4306" spans="3:5" x14ac:dyDescent="0.4">
      <c r="C4306" s="31"/>
      <c r="E4306" s="30"/>
    </row>
    <row r="4307" spans="3:5" x14ac:dyDescent="0.4">
      <c r="C4307" s="31"/>
      <c r="E4307" s="30"/>
    </row>
    <row r="4308" spans="3:5" x14ac:dyDescent="0.4">
      <c r="C4308" s="31"/>
      <c r="E4308" s="30"/>
    </row>
    <row r="4309" spans="3:5" x14ac:dyDescent="0.4">
      <c r="C4309" s="31"/>
      <c r="E4309" s="30"/>
    </row>
    <row r="4310" spans="3:5" x14ac:dyDescent="0.4">
      <c r="C4310" s="31"/>
      <c r="E4310" s="30"/>
    </row>
    <row r="4311" spans="3:5" x14ac:dyDescent="0.4">
      <c r="C4311" s="31"/>
      <c r="E4311" s="30"/>
    </row>
    <row r="4312" spans="3:5" x14ac:dyDescent="0.4">
      <c r="C4312" s="31"/>
      <c r="E4312" s="30"/>
    </row>
    <row r="4313" spans="3:5" x14ac:dyDescent="0.4">
      <c r="C4313" s="31"/>
      <c r="E4313" s="30"/>
    </row>
    <row r="4314" spans="3:5" x14ac:dyDescent="0.4">
      <c r="C4314" s="31"/>
      <c r="E4314" s="30"/>
    </row>
    <row r="4315" spans="3:5" x14ac:dyDescent="0.4">
      <c r="C4315" s="31"/>
      <c r="E4315" s="30"/>
    </row>
    <row r="4316" spans="3:5" x14ac:dyDescent="0.4">
      <c r="C4316" s="31"/>
      <c r="E4316" s="30"/>
    </row>
    <row r="4317" spans="3:5" x14ac:dyDescent="0.4">
      <c r="C4317" s="31"/>
      <c r="E4317" s="30"/>
    </row>
    <row r="4318" spans="3:5" x14ac:dyDescent="0.4">
      <c r="C4318" s="31"/>
      <c r="E4318" s="30"/>
    </row>
    <row r="4319" spans="3:5" x14ac:dyDescent="0.4">
      <c r="C4319" s="31"/>
      <c r="E4319" s="30"/>
    </row>
    <row r="4320" spans="3:5" x14ac:dyDescent="0.4">
      <c r="C4320" s="31"/>
      <c r="E4320" s="30"/>
    </row>
    <row r="4321" spans="3:5" x14ac:dyDescent="0.4">
      <c r="C4321" s="31"/>
      <c r="E4321" s="30"/>
    </row>
    <row r="4322" spans="3:5" x14ac:dyDescent="0.4">
      <c r="C4322" s="31"/>
      <c r="E4322" s="30"/>
    </row>
    <row r="4323" spans="3:5" x14ac:dyDescent="0.4">
      <c r="C4323" s="31"/>
      <c r="E4323" s="30"/>
    </row>
    <row r="4324" spans="3:5" x14ac:dyDescent="0.4">
      <c r="C4324" s="31"/>
      <c r="E4324" s="30"/>
    </row>
    <row r="4325" spans="3:5" x14ac:dyDescent="0.4">
      <c r="C4325" s="31"/>
      <c r="E4325" s="30"/>
    </row>
    <row r="4326" spans="3:5" x14ac:dyDescent="0.4">
      <c r="C4326" s="31"/>
      <c r="E4326" s="30"/>
    </row>
    <row r="4327" spans="3:5" x14ac:dyDescent="0.4">
      <c r="C4327" s="31"/>
      <c r="E4327" s="30"/>
    </row>
    <row r="4328" spans="3:5" x14ac:dyDescent="0.4">
      <c r="C4328" s="31"/>
      <c r="E4328" s="30"/>
    </row>
    <row r="4329" spans="3:5" x14ac:dyDescent="0.4">
      <c r="C4329" s="31"/>
      <c r="E4329" s="30"/>
    </row>
    <row r="4330" spans="3:5" x14ac:dyDescent="0.4">
      <c r="C4330" s="31"/>
      <c r="E4330" s="30"/>
    </row>
    <row r="4331" spans="3:5" x14ac:dyDescent="0.4">
      <c r="C4331" s="31"/>
      <c r="E4331" s="30"/>
    </row>
    <row r="4332" spans="3:5" x14ac:dyDescent="0.4">
      <c r="C4332" s="31"/>
      <c r="E4332" s="30"/>
    </row>
    <row r="4333" spans="3:5" x14ac:dyDescent="0.4">
      <c r="C4333" s="31"/>
      <c r="E4333" s="30"/>
    </row>
    <row r="4334" spans="3:5" x14ac:dyDescent="0.4">
      <c r="C4334" s="31"/>
      <c r="E4334" s="30"/>
    </row>
    <row r="4335" spans="3:5" x14ac:dyDescent="0.4">
      <c r="C4335" s="31"/>
      <c r="E4335" s="30"/>
    </row>
    <row r="4336" spans="3:5" x14ac:dyDescent="0.4">
      <c r="C4336" s="31"/>
      <c r="E4336" s="30"/>
    </row>
    <row r="4337" spans="3:5" x14ac:dyDescent="0.4">
      <c r="C4337" s="31"/>
      <c r="E4337" s="30"/>
    </row>
    <row r="4338" spans="3:5" x14ac:dyDescent="0.4">
      <c r="C4338" s="31"/>
      <c r="E4338" s="30"/>
    </row>
    <row r="4339" spans="3:5" x14ac:dyDescent="0.4">
      <c r="C4339" s="31"/>
      <c r="E4339" s="30"/>
    </row>
    <row r="4340" spans="3:5" x14ac:dyDescent="0.4">
      <c r="C4340" s="31"/>
      <c r="E4340" s="30"/>
    </row>
    <row r="4341" spans="3:5" x14ac:dyDescent="0.4">
      <c r="C4341" s="31"/>
      <c r="E4341" s="30"/>
    </row>
    <row r="4342" spans="3:5" x14ac:dyDescent="0.4">
      <c r="C4342" s="31"/>
      <c r="E4342" s="30"/>
    </row>
    <row r="4343" spans="3:5" x14ac:dyDescent="0.4">
      <c r="C4343" s="31"/>
      <c r="E4343" s="30"/>
    </row>
    <row r="4344" spans="3:5" x14ac:dyDescent="0.4">
      <c r="C4344" s="31"/>
      <c r="E4344" s="30"/>
    </row>
    <row r="4345" spans="3:5" x14ac:dyDescent="0.4">
      <c r="C4345" s="31"/>
      <c r="E4345" s="30"/>
    </row>
    <row r="4346" spans="3:5" x14ac:dyDescent="0.4">
      <c r="C4346" s="31"/>
      <c r="E4346" s="30"/>
    </row>
    <row r="4347" spans="3:5" x14ac:dyDescent="0.4">
      <c r="C4347" s="31"/>
      <c r="E4347" s="30"/>
    </row>
    <row r="4348" spans="3:5" x14ac:dyDescent="0.4">
      <c r="C4348" s="31"/>
      <c r="E4348" s="30"/>
    </row>
    <row r="4349" spans="3:5" x14ac:dyDescent="0.4">
      <c r="C4349" s="31"/>
      <c r="E4349" s="30"/>
    </row>
    <row r="4350" spans="3:5" x14ac:dyDescent="0.4">
      <c r="C4350" s="31"/>
      <c r="E4350" s="30"/>
    </row>
    <row r="4351" spans="3:5" x14ac:dyDescent="0.4">
      <c r="C4351" s="31"/>
      <c r="E4351" s="30"/>
    </row>
    <row r="4352" spans="3:5" x14ac:dyDescent="0.4">
      <c r="C4352" s="31"/>
      <c r="E4352" s="30"/>
    </row>
    <row r="4353" spans="3:5" x14ac:dyDescent="0.4">
      <c r="C4353" s="31"/>
      <c r="E4353" s="30"/>
    </row>
    <row r="4354" spans="3:5" x14ac:dyDescent="0.4">
      <c r="C4354" s="31"/>
      <c r="E4354" s="30"/>
    </row>
    <row r="4355" spans="3:5" x14ac:dyDescent="0.4">
      <c r="C4355" s="31"/>
      <c r="E4355" s="30"/>
    </row>
    <row r="4356" spans="3:5" x14ac:dyDescent="0.4">
      <c r="C4356" s="31"/>
      <c r="E4356" s="30"/>
    </row>
    <row r="4357" spans="3:5" x14ac:dyDescent="0.4">
      <c r="C4357" s="31"/>
      <c r="E4357" s="30"/>
    </row>
    <row r="4358" spans="3:5" x14ac:dyDescent="0.4">
      <c r="C4358" s="31"/>
      <c r="E4358" s="30"/>
    </row>
    <row r="4359" spans="3:5" x14ac:dyDescent="0.4">
      <c r="C4359" s="31"/>
      <c r="E4359" s="30"/>
    </row>
    <row r="4360" spans="3:5" x14ac:dyDescent="0.4">
      <c r="C4360" s="31"/>
      <c r="E4360" s="30"/>
    </row>
    <row r="4361" spans="3:5" x14ac:dyDescent="0.4">
      <c r="C4361" s="31"/>
      <c r="E4361" s="30"/>
    </row>
    <row r="4362" spans="3:5" x14ac:dyDescent="0.4">
      <c r="C4362" s="31"/>
      <c r="E4362" s="30"/>
    </row>
    <row r="4363" spans="3:5" x14ac:dyDescent="0.4">
      <c r="C4363" s="31"/>
      <c r="E4363" s="30"/>
    </row>
    <row r="4364" spans="3:5" x14ac:dyDescent="0.4">
      <c r="C4364" s="31"/>
      <c r="E4364" s="30"/>
    </row>
    <row r="4365" spans="3:5" x14ac:dyDescent="0.4">
      <c r="C4365" s="31"/>
      <c r="E4365" s="30"/>
    </row>
    <row r="4366" spans="3:5" x14ac:dyDescent="0.4">
      <c r="C4366" s="31"/>
      <c r="E4366" s="30"/>
    </row>
    <row r="4367" spans="3:5" x14ac:dyDescent="0.4">
      <c r="C4367" s="31"/>
      <c r="E4367" s="30"/>
    </row>
    <row r="4368" spans="3:5" x14ac:dyDescent="0.4">
      <c r="C4368" s="31"/>
      <c r="E4368" s="30"/>
    </row>
    <row r="4369" spans="3:5" x14ac:dyDescent="0.4">
      <c r="C4369" s="31"/>
      <c r="E4369" s="30"/>
    </row>
    <row r="4370" spans="3:5" x14ac:dyDescent="0.4">
      <c r="C4370" s="31"/>
      <c r="E4370" s="30"/>
    </row>
    <row r="4371" spans="3:5" x14ac:dyDescent="0.4">
      <c r="C4371" s="31"/>
      <c r="E4371" s="30"/>
    </row>
    <row r="4372" spans="3:5" x14ac:dyDescent="0.4">
      <c r="C4372" s="31"/>
      <c r="E4372" s="30"/>
    </row>
    <row r="4373" spans="3:5" x14ac:dyDescent="0.4">
      <c r="C4373" s="31"/>
      <c r="E4373" s="30"/>
    </row>
    <row r="4374" spans="3:5" x14ac:dyDescent="0.4">
      <c r="C4374" s="31"/>
      <c r="E4374" s="30"/>
    </row>
    <row r="4375" spans="3:5" x14ac:dyDescent="0.4">
      <c r="C4375" s="31"/>
      <c r="E4375" s="30"/>
    </row>
    <row r="4376" spans="3:5" x14ac:dyDescent="0.4">
      <c r="C4376" s="31"/>
      <c r="E4376" s="30"/>
    </row>
    <row r="4377" spans="3:5" x14ac:dyDescent="0.4">
      <c r="C4377" s="31"/>
      <c r="E4377" s="30"/>
    </row>
    <row r="4378" spans="3:5" x14ac:dyDescent="0.4">
      <c r="C4378" s="31"/>
      <c r="E4378" s="30"/>
    </row>
    <row r="4379" spans="3:5" x14ac:dyDescent="0.4">
      <c r="C4379" s="31"/>
      <c r="E4379" s="30"/>
    </row>
    <row r="4380" spans="3:5" x14ac:dyDescent="0.4">
      <c r="C4380" s="31"/>
      <c r="E4380" s="30"/>
    </row>
    <row r="4381" spans="3:5" x14ac:dyDescent="0.4">
      <c r="C4381" s="31"/>
      <c r="E4381" s="30"/>
    </row>
    <row r="4382" spans="3:5" x14ac:dyDescent="0.4">
      <c r="C4382" s="31"/>
      <c r="E4382" s="30"/>
    </row>
    <row r="4383" spans="3:5" x14ac:dyDescent="0.4">
      <c r="C4383" s="31"/>
      <c r="E4383" s="30"/>
    </row>
    <row r="4384" spans="3:5" x14ac:dyDescent="0.4">
      <c r="C4384" s="31"/>
      <c r="E4384" s="30"/>
    </row>
    <row r="4385" spans="3:5" x14ac:dyDescent="0.4">
      <c r="C4385" s="31"/>
      <c r="E4385" s="30"/>
    </row>
    <row r="4386" spans="3:5" x14ac:dyDescent="0.4">
      <c r="C4386" s="31"/>
      <c r="E4386" s="30"/>
    </row>
    <row r="4387" spans="3:5" x14ac:dyDescent="0.4">
      <c r="C4387" s="31"/>
      <c r="E4387" s="30"/>
    </row>
    <row r="4388" spans="3:5" x14ac:dyDescent="0.4">
      <c r="C4388" s="31"/>
      <c r="E4388" s="30"/>
    </row>
    <row r="4389" spans="3:5" x14ac:dyDescent="0.4">
      <c r="C4389" s="31"/>
      <c r="E4389" s="30"/>
    </row>
    <row r="4390" spans="3:5" x14ac:dyDescent="0.4">
      <c r="C4390" s="31"/>
      <c r="E4390" s="30"/>
    </row>
    <row r="4391" spans="3:5" x14ac:dyDescent="0.4">
      <c r="C4391" s="31"/>
      <c r="E4391" s="30"/>
    </row>
    <row r="4392" spans="3:5" x14ac:dyDescent="0.4">
      <c r="C4392" s="31"/>
      <c r="E4392" s="30"/>
    </row>
    <row r="4393" spans="3:5" x14ac:dyDescent="0.4">
      <c r="C4393" s="31"/>
      <c r="E4393" s="30"/>
    </row>
    <row r="4394" spans="3:5" x14ac:dyDescent="0.4">
      <c r="C4394" s="31"/>
      <c r="E4394" s="30"/>
    </row>
    <row r="4395" spans="3:5" x14ac:dyDescent="0.4">
      <c r="C4395" s="31"/>
      <c r="E4395" s="30"/>
    </row>
    <row r="4396" spans="3:5" x14ac:dyDescent="0.4">
      <c r="C4396" s="31"/>
      <c r="E4396" s="30"/>
    </row>
    <row r="4397" spans="3:5" x14ac:dyDescent="0.4">
      <c r="C4397" s="31"/>
      <c r="E4397" s="30"/>
    </row>
    <row r="4398" spans="3:5" x14ac:dyDescent="0.4">
      <c r="C4398" s="31"/>
      <c r="E4398" s="30"/>
    </row>
    <row r="4399" spans="3:5" x14ac:dyDescent="0.4">
      <c r="C4399" s="31"/>
      <c r="E4399" s="30"/>
    </row>
    <row r="4400" spans="3:5" x14ac:dyDescent="0.4">
      <c r="C4400" s="31"/>
      <c r="E4400" s="30"/>
    </row>
    <row r="4401" spans="3:5" x14ac:dyDescent="0.4">
      <c r="C4401" s="31"/>
      <c r="E4401" s="30"/>
    </row>
    <row r="4402" spans="3:5" x14ac:dyDescent="0.4">
      <c r="C4402" s="31"/>
      <c r="E4402" s="30"/>
    </row>
    <row r="4403" spans="3:5" x14ac:dyDescent="0.4">
      <c r="C4403" s="31"/>
      <c r="E4403" s="30"/>
    </row>
    <row r="4404" spans="3:5" x14ac:dyDescent="0.4">
      <c r="C4404" s="31"/>
      <c r="E4404" s="30"/>
    </row>
    <row r="4405" spans="3:5" x14ac:dyDescent="0.4">
      <c r="C4405" s="31"/>
      <c r="E4405" s="30"/>
    </row>
    <row r="4406" spans="3:5" x14ac:dyDescent="0.4">
      <c r="C4406" s="31"/>
      <c r="E4406" s="30"/>
    </row>
    <row r="4407" spans="3:5" x14ac:dyDescent="0.4">
      <c r="C4407" s="31"/>
      <c r="E4407" s="30"/>
    </row>
    <row r="4408" spans="3:5" x14ac:dyDescent="0.4">
      <c r="C4408" s="31"/>
      <c r="E4408" s="30"/>
    </row>
    <row r="4409" spans="3:5" x14ac:dyDescent="0.4">
      <c r="C4409" s="31"/>
      <c r="E4409" s="30"/>
    </row>
    <row r="4410" spans="3:5" x14ac:dyDescent="0.4">
      <c r="C4410" s="31"/>
      <c r="E4410" s="30"/>
    </row>
    <row r="4411" spans="3:5" x14ac:dyDescent="0.4">
      <c r="C4411" s="31"/>
      <c r="E4411" s="30"/>
    </row>
    <row r="4412" spans="3:5" x14ac:dyDescent="0.4">
      <c r="C4412" s="31"/>
      <c r="E4412" s="30"/>
    </row>
    <row r="4413" spans="3:5" x14ac:dyDescent="0.4">
      <c r="C4413" s="31"/>
      <c r="E4413" s="30"/>
    </row>
    <row r="4414" spans="3:5" x14ac:dyDescent="0.4">
      <c r="C4414" s="31"/>
      <c r="E4414" s="30"/>
    </row>
    <row r="4415" spans="3:5" x14ac:dyDescent="0.4">
      <c r="C4415" s="31"/>
      <c r="E4415" s="30"/>
    </row>
    <row r="4416" spans="3:5" x14ac:dyDescent="0.4">
      <c r="C4416" s="31"/>
      <c r="E4416" s="30"/>
    </row>
    <row r="4417" spans="3:5" x14ac:dyDescent="0.4">
      <c r="C4417" s="31"/>
      <c r="E4417" s="30"/>
    </row>
    <row r="4418" spans="3:5" x14ac:dyDescent="0.4">
      <c r="C4418" s="31"/>
      <c r="E4418" s="30"/>
    </row>
    <row r="4419" spans="3:5" x14ac:dyDescent="0.4">
      <c r="C4419" s="31"/>
      <c r="E4419" s="30"/>
    </row>
    <row r="4420" spans="3:5" x14ac:dyDescent="0.4">
      <c r="C4420" s="31"/>
      <c r="E4420" s="30"/>
    </row>
    <row r="4421" spans="3:5" x14ac:dyDescent="0.4">
      <c r="C4421" s="31"/>
      <c r="E4421" s="30"/>
    </row>
    <row r="4422" spans="3:5" x14ac:dyDescent="0.4">
      <c r="C4422" s="31"/>
      <c r="E4422" s="30"/>
    </row>
    <row r="4423" spans="3:5" x14ac:dyDescent="0.4">
      <c r="C4423" s="31"/>
      <c r="E4423" s="30"/>
    </row>
    <row r="4424" spans="3:5" x14ac:dyDescent="0.4">
      <c r="C4424" s="31"/>
      <c r="E4424" s="30"/>
    </row>
    <row r="4425" spans="3:5" x14ac:dyDescent="0.4">
      <c r="C4425" s="31"/>
      <c r="E4425" s="30"/>
    </row>
    <row r="4426" spans="3:5" x14ac:dyDescent="0.4">
      <c r="C4426" s="31"/>
      <c r="E4426" s="30"/>
    </row>
    <row r="4427" spans="3:5" x14ac:dyDescent="0.4">
      <c r="C4427" s="31"/>
      <c r="E4427" s="30"/>
    </row>
    <row r="4428" spans="3:5" x14ac:dyDescent="0.4">
      <c r="C4428" s="31"/>
      <c r="E4428" s="30"/>
    </row>
    <row r="4429" spans="3:5" x14ac:dyDescent="0.4">
      <c r="C4429" s="31"/>
      <c r="E4429" s="30"/>
    </row>
    <row r="4430" spans="3:5" x14ac:dyDescent="0.4">
      <c r="C4430" s="31"/>
      <c r="E4430" s="30"/>
    </row>
    <row r="4431" spans="3:5" x14ac:dyDescent="0.4">
      <c r="C4431" s="31"/>
      <c r="E4431" s="30"/>
    </row>
    <row r="4432" spans="3:5" x14ac:dyDescent="0.4">
      <c r="C4432" s="31"/>
      <c r="E4432" s="30"/>
    </row>
    <row r="4433" spans="3:5" x14ac:dyDescent="0.4">
      <c r="C4433" s="31"/>
      <c r="E4433" s="30"/>
    </row>
    <row r="4434" spans="3:5" x14ac:dyDescent="0.4">
      <c r="C4434" s="31"/>
      <c r="E4434" s="30"/>
    </row>
    <row r="4435" spans="3:5" x14ac:dyDescent="0.4">
      <c r="C4435" s="31"/>
      <c r="E4435" s="30"/>
    </row>
    <row r="4436" spans="3:5" x14ac:dyDescent="0.4">
      <c r="C4436" s="31"/>
      <c r="E4436" s="30"/>
    </row>
    <row r="4437" spans="3:5" x14ac:dyDescent="0.4">
      <c r="C4437" s="31"/>
      <c r="E4437" s="30"/>
    </row>
    <row r="4438" spans="3:5" x14ac:dyDescent="0.4">
      <c r="C4438" s="31"/>
      <c r="E4438" s="30"/>
    </row>
    <row r="4439" spans="3:5" x14ac:dyDescent="0.4">
      <c r="C4439" s="31"/>
      <c r="E4439" s="30"/>
    </row>
    <row r="4440" spans="3:5" x14ac:dyDescent="0.4">
      <c r="C4440" s="31"/>
      <c r="E4440" s="30"/>
    </row>
    <row r="4441" spans="3:5" x14ac:dyDescent="0.4">
      <c r="C4441" s="31"/>
      <c r="E4441" s="30"/>
    </row>
    <row r="4442" spans="3:5" x14ac:dyDescent="0.4">
      <c r="C4442" s="31"/>
      <c r="E4442" s="30"/>
    </row>
    <row r="4443" spans="3:5" x14ac:dyDescent="0.4">
      <c r="C4443" s="31"/>
      <c r="E4443" s="30"/>
    </row>
    <row r="4444" spans="3:5" x14ac:dyDescent="0.4">
      <c r="C4444" s="31"/>
      <c r="E4444" s="30"/>
    </row>
    <row r="4445" spans="3:5" x14ac:dyDescent="0.4">
      <c r="C4445" s="31"/>
      <c r="E4445" s="30"/>
    </row>
    <row r="4446" spans="3:5" x14ac:dyDescent="0.4">
      <c r="C4446" s="31"/>
      <c r="E4446" s="30"/>
    </row>
    <row r="4447" spans="3:5" x14ac:dyDescent="0.4">
      <c r="C4447" s="31"/>
      <c r="E4447" s="30"/>
    </row>
    <row r="4448" spans="3:5" x14ac:dyDescent="0.4">
      <c r="C4448" s="31"/>
      <c r="E4448" s="30"/>
    </row>
    <row r="4449" spans="3:5" x14ac:dyDescent="0.4">
      <c r="C4449" s="31"/>
      <c r="E4449" s="30"/>
    </row>
    <row r="4450" spans="3:5" x14ac:dyDescent="0.4">
      <c r="C4450" s="31"/>
      <c r="E4450" s="30"/>
    </row>
    <row r="4451" spans="3:5" x14ac:dyDescent="0.4">
      <c r="C4451" s="31"/>
      <c r="E4451" s="30"/>
    </row>
    <row r="4452" spans="3:5" x14ac:dyDescent="0.4">
      <c r="C4452" s="31"/>
      <c r="E4452" s="30"/>
    </row>
    <row r="4453" spans="3:5" x14ac:dyDescent="0.4">
      <c r="C4453" s="31"/>
      <c r="E4453" s="30"/>
    </row>
    <row r="4454" spans="3:5" x14ac:dyDescent="0.4">
      <c r="C4454" s="31"/>
      <c r="E4454" s="30"/>
    </row>
    <row r="4455" spans="3:5" x14ac:dyDescent="0.4">
      <c r="C4455" s="31"/>
      <c r="E4455" s="30"/>
    </row>
    <row r="4456" spans="3:5" x14ac:dyDescent="0.4">
      <c r="C4456" s="31"/>
      <c r="E4456" s="30"/>
    </row>
    <row r="4457" spans="3:5" x14ac:dyDescent="0.4">
      <c r="C4457" s="31"/>
      <c r="E4457" s="30"/>
    </row>
    <row r="4458" spans="3:5" x14ac:dyDescent="0.4">
      <c r="C4458" s="31"/>
      <c r="E4458" s="30"/>
    </row>
    <row r="4459" spans="3:5" x14ac:dyDescent="0.4">
      <c r="C4459" s="31"/>
      <c r="E4459" s="30"/>
    </row>
    <row r="4460" spans="3:5" x14ac:dyDescent="0.4">
      <c r="C4460" s="31"/>
      <c r="E4460" s="30"/>
    </row>
    <row r="4461" spans="3:5" x14ac:dyDescent="0.4">
      <c r="C4461" s="31"/>
      <c r="E4461" s="30"/>
    </row>
    <row r="4462" spans="3:5" x14ac:dyDescent="0.4">
      <c r="C4462" s="31"/>
      <c r="E4462" s="30"/>
    </row>
    <row r="4463" spans="3:5" x14ac:dyDescent="0.4">
      <c r="C4463" s="31"/>
      <c r="E4463" s="30"/>
    </row>
    <row r="4464" spans="3:5" x14ac:dyDescent="0.4">
      <c r="C4464" s="31"/>
      <c r="E4464" s="30"/>
    </row>
    <row r="4465" spans="3:5" x14ac:dyDescent="0.4">
      <c r="C4465" s="31"/>
      <c r="E4465" s="30"/>
    </row>
    <row r="4466" spans="3:5" x14ac:dyDescent="0.4">
      <c r="C4466" s="31"/>
      <c r="E4466" s="30"/>
    </row>
    <row r="4467" spans="3:5" x14ac:dyDescent="0.4">
      <c r="C4467" s="31"/>
      <c r="E4467" s="30"/>
    </row>
    <row r="4468" spans="3:5" x14ac:dyDescent="0.4">
      <c r="C4468" s="31"/>
      <c r="E4468" s="30"/>
    </row>
    <row r="4469" spans="3:5" x14ac:dyDescent="0.4">
      <c r="C4469" s="31"/>
      <c r="E4469" s="30"/>
    </row>
    <row r="4470" spans="3:5" x14ac:dyDescent="0.4">
      <c r="C4470" s="31"/>
      <c r="E4470" s="30"/>
    </row>
    <row r="4471" spans="3:5" x14ac:dyDescent="0.4">
      <c r="C4471" s="31"/>
      <c r="E4471" s="30"/>
    </row>
    <row r="4472" spans="3:5" x14ac:dyDescent="0.4">
      <c r="C4472" s="31"/>
      <c r="E4472" s="30"/>
    </row>
    <row r="4473" spans="3:5" x14ac:dyDescent="0.4">
      <c r="C4473" s="31"/>
      <c r="E4473" s="30"/>
    </row>
    <row r="4474" spans="3:5" x14ac:dyDescent="0.4">
      <c r="C4474" s="31"/>
      <c r="E4474" s="30"/>
    </row>
    <row r="4475" spans="3:5" x14ac:dyDescent="0.4">
      <c r="C4475" s="31"/>
      <c r="E4475" s="30"/>
    </row>
    <row r="4476" spans="3:5" x14ac:dyDescent="0.4">
      <c r="C4476" s="31"/>
      <c r="E4476" s="30"/>
    </row>
    <row r="4477" spans="3:5" x14ac:dyDescent="0.4">
      <c r="C4477" s="31"/>
      <c r="E4477" s="30"/>
    </row>
    <row r="4478" spans="3:5" x14ac:dyDescent="0.4">
      <c r="C4478" s="31"/>
      <c r="E4478" s="30"/>
    </row>
    <row r="4479" spans="3:5" x14ac:dyDescent="0.4">
      <c r="C4479" s="31"/>
      <c r="E4479" s="30"/>
    </row>
    <row r="4480" spans="3:5" x14ac:dyDescent="0.4">
      <c r="C4480" s="31"/>
      <c r="E4480" s="30"/>
    </row>
    <row r="4481" spans="3:5" x14ac:dyDescent="0.4">
      <c r="C4481" s="31"/>
      <c r="E4481" s="30"/>
    </row>
    <row r="4482" spans="3:5" x14ac:dyDescent="0.4">
      <c r="C4482" s="31"/>
      <c r="E4482" s="30"/>
    </row>
    <row r="4483" spans="3:5" x14ac:dyDescent="0.4">
      <c r="C4483" s="31"/>
      <c r="E4483" s="30"/>
    </row>
    <row r="4484" spans="3:5" x14ac:dyDescent="0.4">
      <c r="C4484" s="31"/>
      <c r="E4484" s="30"/>
    </row>
    <row r="4485" spans="3:5" x14ac:dyDescent="0.4">
      <c r="C4485" s="31"/>
      <c r="E4485" s="30"/>
    </row>
    <row r="4486" spans="3:5" x14ac:dyDescent="0.4">
      <c r="C4486" s="31"/>
      <c r="E4486" s="30"/>
    </row>
    <row r="4487" spans="3:5" x14ac:dyDescent="0.4">
      <c r="C4487" s="31"/>
      <c r="E4487" s="30"/>
    </row>
    <row r="4488" spans="3:5" x14ac:dyDescent="0.4">
      <c r="C4488" s="31"/>
      <c r="E4488" s="30"/>
    </row>
    <row r="4489" spans="3:5" x14ac:dyDescent="0.4">
      <c r="C4489" s="31"/>
      <c r="E4489" s="30"/>
    </row>
    <row r="4490" spans="3:5" x14ac:dyDescent="0.4">
      <c r="C4490" s="31"/>
      <c r="E4490" s="30"/>
    </row>
    <row r="4491" spans="3:5" x14ac:dyDescent="0.4">
      <c r="C4491" s="31"/>
      <c r="E4491" s="30"/>
    </row>
    <row r="4492" spans="3:5" x14ac:dyDescent="0.4">
      <c r="C4492" s="31"/>
      <c r="E4492" s="30"/>
    </row>
    <row r="4493" spans="3:5" x14ac:dyDescent="0.4">
      <c r="C4493" s="31"/>
      <c r="E4493" s="30"/>
    </row>
    <row r="4494" spans="3:5" x14ac:dyDescent="0.4">
      <c r="C4494" s="31"/>
      <c r="E4494" s="30"/>
    </row>
    <row r="4495" spans="3:5" x14ac:dyDescent="0.4">
      <c r="C4495" s="31"/>
      <c r="E4495" s="30"/>
    </row>
    <row r="4496" spans="3:5" x14ac:dyDescent="0.4">
      <c r="C4496" s="31"/>
      <c r="E4496" s="30"/>
    </row>
    <row r="4497" spans="3:5" x14ac:dyDescent="0.4">
      <c r="C4497" s="31"/>
      <c r="E4497" s="30"/>
    </row>
    <row r="4498" spans="3:5" x14ac:dyDescent="0.4">
      <c r="C4498" s="31"/>
      <c r="E4498" s="30"/>
    </row>
    <row r="4499" spans="3:5" x14ac:dyDescent="0.4">
      <c r="C4499" s="31"/>
      <c r="E4499" s="30"/>
    </row>
    <row r="4500" spans="3:5" x14ac:dyDescent="0.4">
      <c r="C4500" s="31"/>
      <c r="E4500" s="30"/>
    </row>
    <row r="4501" spans="3:5" x14ac:dyDescent="0.4">
      <c r="C4501" s="31"/>
      <c r="E4501" s="30"/>
    </row>
    <row r="4502" spans="3:5" x14ac:dyDescent="0.4">
      <c r="C4502" s="31"/>
      <c r="E4502" s="30"/>
    </row>
    <row r="4503" spans="3:5" x14ac:dyDescent="0.4">
      <c r="C4503" s="31"/>
      <c r="E4503" s="30"/>
    </row>
    <row r="4504" spans="3:5" x14ac:dyDescent="0.4">
      <c r="C4504" s="31"/>
      <c r="E4504" s="30"/>
    </row>
    <row r="4505" spans="3:5" x14ac:dyDescent="0.4">
      <c r="C4505" s="31"/>
      <c r="E4505" s="30"/>
    </row>
    <row r="4506" spans="3:5" x14ac:dyDescent="0.4">
      <c r="C4506" s="31"/>
      <c r="E4506" s="30"/>
    </row>
    <row r="4507" spans="3:5" x14ac:dyDescent="0.4">
      <c r="C4507" s="31"/>
      <c r="E4507" s="30"/>
    </row>
    <row r="4508" spans="3:5" x14ac:dyDescent="0.4">
      <c r="C4508" s="31"/>
      <c r="E4508" s="30"/>
    </row>
    <row r="4509" spans="3:5" x14ac:dyDescent="0.4">
      <c r="C4509" s="31"/>
      <c r="E4509" s="30"/>
    </row>
    <row r="4510" spans="3:5" x14ac:dyDescent="0.4">
      <c r="C4510" s="31"/>
      <c r="E4510" s="30"/>
    </row>
    <row r="4511" spans="3:5" x14ac:dyDescent="0.4">
      <c r="C4511" s="31"/>
      <c r="E4511" s="30"/>
    </row>
    <row r="4512" spans="3:5" x14ac:dyDescent="0.4">
      <c r="C4512" s="31"/>
      <c r="E4512" s="30"/>
    </row>
    <row r="4513" spans="3:5" x14ac:dyDescent="0.4">
      <c r="C4513" s="31"/>
      <c r="E4513" s="30"/>
    </row>
    <row r="4514" spans="3:5" x14ac:dyDescent="0.4">
      <c r="C4514" s="31"/>
      <c r="E4514" s="30"/>
    </row>
    <row r="4515" spans="3:5" x14ac:dyDescent="0.4">
      <c r="C4515" s="31"/>
      <c r="E4515" s="30"/>
    </row>
    <row r="4516" spans="3:5" x14ac:dyDescent="0.4">
      <c r="C4516" s="31"/>
      <c r="E4516" s="30"/>
    </row>
    <row r="4517" spans="3:5" x14ac:dyDescent="0.4">
      <c r="C4517" s="31"/>
      <c r="E4517" s="30"/>
    </row>
    <row r="4518" spans="3:5" x14ac:dyDescent="0.4">
      <c r="C4518" s="31"/>
      <c r="E4518" s="30"/>
    </row>
    <row r="4519" spans="3:5" x14ac:dyDescent="0.4">
      <c r="C4519" s="31"/>
      <c r="E4519" s="30"/>
    </row>
    <row r="4520" spans="3:5" x14ac:dyDescent="0.4">
      <c r="C4520" s="31"/>
      <c r="E4520" s="30"/>
    </row>
    <row r="4521" spans="3:5" x14ac:dyDescent="0.4">
      <c r="C4521" s="31"/>
      <c r="E4521" s="30"/>
    </row>
    <row r="4522" spans="3:5" x14ac:dyDescent="0.4">
      <c r="C4522" s="31"/>
      <c r="E4522" s="30"/>
    </row>
    <row r="4523" spans="3:5" x14ac:dyDescent="0.4">
      <c r="C4523" s="31"/>
      <c r="E4523" s="30"/>
    </row>
    <row r="4524" spans="3:5" x14ac:dyDescent="0.4">
      <c r="C4524" s="31"/>
      <c r="E4524" s="30"/>
    </row>
    <row r="4525" spans="3:5" x14ac:dyDescent="0.4">
      <c r="C4525" s="31"/>
      <c r="E4525" s="30"/>
    </row>
    <row r="4526" spans="3:5" x14ac:dyDescent="0.4">
      <c r="C4526" s="31"/>
      <c r="E4526" s="30"/>
    </row>
    <row r="4527" spans="3:5" x14ac:dyDescent="0.4">
      <c r="C4527" s="31"/>
      <c r="E4527" s="30"/>
    </row>
    <row r="4528" spans="3:5" x14ac:dyDescent="0.4">
      <c r="C4528" s="31"/>
      <c r="E4528" s="30"/>
    </row>
    <row r="4529" spans="3:5" x14ac:dyDescent="0.4">
      <c r="C4529" s="31"/>
      <c r="E4529" s="30"/>
    </row>
    <row r="4530" spans="3:5" x14ac:dyDescent="0.4">
      <c r="C4530" s="31"/>
      <c r="E4530" s="30"/>
    </row>
    <row r="4531" spans="3:5" x14ac:dyDescent="0.4">
      <c r="C4531" s="31"/>
      <c r="E4531" s="30"/>
    </row>
    <row r="4532" spans="3:5" x14ac:dyDescent="0.4">
      <c r="C4532" s="31"/>
      <c r="E4532" s="30"/>
    </row>
    <row r="4533" spans="3:5" x14ac:dyDescent="0.4">
      <c r="C4533" s="31"/>
      <c r="E4533" s="30"/>
    </row>
    <row r="4534" spans="3:5" x14ac:dyDescent="0.4">
      <c r="C4534" s="31"/>
      <c r="E4534" s="30"/>
    </row>
    <row r="4535" spans="3:5" x14ac:dyDescent="0.4">
      <c r="C4535" s="31"/>
      <c r="E4535" s="30"/>
    </row>
    <row r="4536" spans="3:5" x14ac:dyDescent="0.4">
      <c r="C4536" s="31"/>
      <c r="E4536" s="30"/>
    </row>
    <row r="4537" spans="3:5" x14ac:dyDescent="0.4">
      <c r="C4537" s="31"/>
      <c r="E4537" s="30"/>
    </row>
    <row r="4538" spans="3:5" x14ac:dyDescent="0.4">
      <c r="C4538" s="31"/>
      <c r="E4538" s="30"/>
    </row>
    <row r="4539" spans="3:5" x14ac:dyDescent="0.4">
      <c r="C4539" s="31"/>
      <c r="E4539" s="30"/>
    </row>
    <row r="4540" spans="3:5" x14ac:dyDescent="0.4">
      <c r="C4540" s="31"/>
      <c r="E4540" s="30"/>
    </row>
    <row r="4541" spans="3:5" x14ac:dyDescent="0.4">
      <c r="C4541" s="31"/>
      <c r="E4541" s="30"/>
    </row>
    <row r="4542" spans="3:5" x14ac:dyDescent="0.4">
      <c r="C4542" s="31"/>
      <c r="E4542" s="30"/>
    </row>
    <row r="4543" spans="3:5" x14ac:dyDescent="0.4">
      <c r="C4543" s="31"/>
      <c r="E4543" s="30"/>
    </row>
    <row r="4544" spans="3:5" x14ac:dyDescent="0.4">
      <c r="C4544" s="31"/>
      <c r="E4544" s="30"/>
    </row>
    <row r="4545" spans="3:5" x14ac:dyDescent="0.4">
      <c r="C4545" s="31"/>
      <c r="E4545" s="30"/>
    </row>
    <row r="4546" spans="3:5" x14ac:dyDescent="0.4">
      <c r="C4546" s="31"/>
      <c r="E4546" s="30"/>
    </row>
    <row r="4547" spans="3:5" x14ac:dyDescent="0.4">
      <c r="C4547" s="31"/>
      <c r="E4547" s="30"/>
    </row>
    <row r="4548" spans="3:5" x14ac:dyDescent="0.4">
      <c r="C4548" s="31"/>
      <c r="E4548" s="30"/>
    </row>
    <row r="4549" spans="3:5" x14ac:dyDescent="0.4">
      <c r="C4549" s="31"/>
      <c r="E4549" s="30"/>
    </row>
    <row r="4550" spans="3:5" x14ac:dyDescent="0.4">
      <c r="C4550" s="31"/>
      <c r="E4550" s="30"/>
    </row>
    <row r="4551" spans="3:5" x14ac:dyDescent="0.4">
      <c r="C4551" s="31"/>
      <c r="E4551" s="30"/>
    </row>
    <row r="4552" spans="3:5" x14ac:dyDescent="0.4">
      <c r="C4552" s="31"/>
      <c r="E4552" s="30"/>
    </row>
    <row r="4553" spans="3:5" x14ac:dyDescent="0.4">
      <c r="C4553" s="31"/>
      <c r="E4553" s="30"/>
    </row>
    <row r="4554" spans="3:5" x14ac:dyDescent="0.4">
      <c r="C4554" s="31"/>
      <c r="E4554" s="30"/>
    </row>
    <row r="4555" spans="3:5" x14ac:dyDescent="0.4">
      <c r="C4555" s="31"/>
      <c r="E4555" s="30"/>
    </row>
    <row r="4556" spans="3:5" x14ac:dyDescent="0.4">
      <c r="C4556" s="31"/>
      <c r="E4556" s="30"/>
    </row>
    <row r="4557" spans="3:5" x14ac:dyDescent="0.4">
      <c r="C4557" s="31"/>
      <c r="E4557" s="30"/>
    </row>
    <row r="4558" spans="3:5" x14ac:dyDescent="0.4">
      <c r="C4558" s="31"/>
      <c r="E4558" s="30"/>
    </row>
    <row r="4559" spans="3:5" x14ac:dyDescent="0.4">
      <c r="C4559" s="31"/>
      <c r="E4559" s="30"/>
    </row>
    <row r="4560" spans="3:5" x14ac:dyDescent="0.4">
      <c r="C4560" s="31"/>
      <c r="E4560" s="30"/>
    </row>
    <row r="4561" spans="3:5" x14ac:dyDescent="0.4">
      <c r="C4561" s="31"/>
      <c r="E4561" s="30"/>
    </row>
    <row r="4562" spans="3:5" x14ac:dyDescent="0.4">
      <c r="C4562" s="31"/>
      <c r="E4562" s="30"/>
    </row>
    <row r="4563" spans="3:5" x14ac:dyDescent="0.4">
      <c r="C4563" s="31"/>
      <c r="E4563" s="30"/>
    </row>
    <row r="4564" spans="3:5" x14ac:dyDescent="0.4">
      <c r="C4564" s="31"/>
      <c r="E4564" s="30"/>
    </row>
    <row r="4565" spans="3:5" x14ac:dyDescent="0.4">
      <c r="C4565" s="31"/>
      <c r="E4565" s="30"/>
    </row>
    <row r="4566" spans="3:5" x14ac:dyDescent="0.4">
      <c r="C4566" s="31"/>
      <c r="E4566" s="30"/>
    </row>
    <row r="4567" spans="3:5" x14ac:dyDescent="0.4">
      <c r="C4567" s="31"/>
      <c r="E4567" s="30"/>
    </row>
    <row r="4568" spans="3:5" x14ac:dyDescent="0.4">
      <c r="C4568" s="31"/>
      <c r="E4568" s="30"/>
    </row>
    <row r="4569" spans="3:5" x14ac:dyDescent="0.4">
      <c r="C4569" s="31"/>
      <c r="E4569" s="30"/>
    </row>
    <row r="4570" spans="3:5" x14ac:dyDescent="0.4">
      <c r="C4570" s="31"/>
      <c r="E4570" s="30"/>
    </row>
    <row r="4571" spans="3:5" x14ac:dyDescent="0.4">
      <c r="C4571" s="31"/>
      <c r="E4571" s="30"/>
    </row>
    <row r="4572" spans="3:5" x14ac:dyDescent="0.4">
      <c r="C4572" s="31"/>
      <c r="E4572" s="30"/>
    </row>
    <row r="4573" spans="3:5" x14ac:dyDescent="0.4">
      <c r="C4573" s="31"/>
      <c r="E4573" s="30"/>
    </row>
    <row r="4574" spans="3:5" x14ac:dyDescent="0.4">
      <c r="C4574" s="31"/>
      <c r="E4574" s="30"/>
    </row>
    <row r="4575" spans="3:5" x14ac:dyDescent="0.4">
      <c r="C4575" s="31"/>
      <c r="E4575" s="30"/>
    </row>
    <row r="4576" spans="3:5" x14ac:dyDescent="0.4">
      <c r="C4576" s="31"/>
      <c r="E4576" s="30"/>
    </row>
    <row r="4577" spans="3:5" x14ac:dyDescent="0.4">
      <c r="C4577" s="31"/>
      <c r="E4577" s="30"/>
    </row>
    <row r="4578" spans="3:5" x14ac:dyDescent="0.4">
      <c r="C4578" s="31"/>
      <c r="E4578" s="30"/>
    </row>
    <row r="4579" spans="3:5" x14ac:dyDescent="0.4">
      <c r="C4579" s="31"/>
      <c r="E4579" s="30"/>
    </row>
    <row r="4580" spans="3:5" x14ac:dyDescent="0.4">
      <c r="C4580" s="31"/>
      <c r="E4580" s="30"/>
    </row>
    <row r="4581" spans="3:5" x14ac:dyDescent="0.4">
      <c r="C4581" s="31"/>
      <c r="E4581" s="30"/>
    </row>
    <row r="4582" spans="3:5" x14ac:dyDescent="0.4">
      <c r="C4582" s="31"/>
      <c r="E4582" s="30"/>
    </row>
    <row r="4583" spans="3:5" x14ac:dyDescent="0.4">
      <c r="C4583" s="31"/>
      <c r="E4583" s="30"/>
    </row>
    <row r="4584" spans="3:5" x14ac:dyDescent="0.4">
      <c r="C4584" s="31"/>
      <c r="E4584" s="30"/>
    </row>
    <row r="4585" spans="3:5" x14ac:dyDescent="0.4">
      <c r="C4585" s="31"/>
      <c r="E4585" s="30"/>
    </row>
    <row r="4586" spans="3:5" x14ac:dyDescent="0.4">
      <c r="C4586" s="31"/>
      <c r="E4586" s="30"/>
    </row>
    <row r="4587" spans="3:5" x14ac:dyDescent="0.4">
      <c r="C4587" s="31"/>
      <c r="E4587" s="30"/>
    </row>
    <row r="4588" spans="3:5" x14ac:dyDescent="0.4">
      <c r="C4588" s="31"/>
      <c r="E4588" s="30"/>
    </row>
    <row r="4589" spans="3:5" x14ac:dyDescent="0.4">
      <c r="C4589" s="31"/>
      <c r="E4589" s="30"/>
    </row>
    <row r="4590" spans="3:5" x14ac:dyDescent="0.4">
      <c r="C4590" s="31"/>
      <c r="E4590" s="30"/>
    </row>
    <row r="4591" spans="3:5" x14ac:dyDescent="0.4">
      <c r="C4591" s="31"/>
      <c r="E4591" s="30"/>
    </row>
    <row r="4592" spans="3:5" x14ac:dyDescent="0.4">
      <c r="C4592" s="31"/>
      <c r="E4592" s="30"/>
    </row>
    <row r="4593" spans="3:5" x14ac:dyDescent="0.4">
      <c r="C4593" s="31"/>
      <c r="E4593" s="30"/>
    </row>
    <row r="4594" spans="3:5" x14ac:dyDescent="0.4">
      <c r="C4594" s="31"/>
      <c r="E4594" s="30"/>
    </row>
    <row r="4595" spans="3:5" x14ac:dyDescent="0.4">
      <c r="C4595" s="31"/>
      <c r="E4595" s="30"/>
    </row>
    <row r="4596" spans="3:5" x14ac:dyDescent="0.4">
      <c r="C4596" s="31"/>
      <c r="E4596" s="30"/>
    </row>
    <row r="4597" spans="3:5" x14ac:dyDescent="0.4">
      <c r="C4597" s="31"/>
      <c r="E4597" s="30"/>
    </row>
    <row r="4598" spans="3:5" x14ac:dyDescent="0.4">
      <c r="C4598" s="31"/>
      <c r="E4598" s="30"/>
    </row>
    <row r="4599" spans="3:5" x14ac:dyDescent="0.4">
      <c r="C4599" s="31"/>
      <c r="E4599" s="30"/>
    </row>
    <row r="4600" spans="3:5" x14ac:dyDescent="0.4">
      <c r="C4600" s="31"/>
      <c r="E4600" s="30"/>
    </row>
    <row r="4601" spans="3:5" x14ac:dyDescent="0.4">
      <c r="C4601" s="31"/>
      <c r="E4601" s="30"/>
    </row>
    <row r="4602" spans="3:5" x14ac:dyDescent="0.4">
      <c r="C4602" s="31"/>
      <c r="E4602" s="30"/>
    </row>
    <row r="4603" spans="3:5" x14ac:dyDescent="0.4">
      <c r="C4603" s="31"/>
      <c r="E4603" s="30"/>
    </row>
    <row r="4604" spans="3:5" x14ac:dyDescent="0.4">
      <c r="C4604" s="31"/>
      <c r="E4604" s="30"/>
    </row>
    <row r="4605" spans="3:5" x14ac:dyDescent="0.4">
      <c r="C4605" s="31"/>
      <c r="E4605" s="30"/>
    </row>
    <row r="4606" spans="3:5" x14ac:dyDescent="0.4">
      <c r="C4606" s="31"/>
      <c r="E4606" s="30"/>
    </row>
    <row r="4607" spans="3:5" x14ac:dyDescent="0.4">
      <c r="C4607" s="31"/>
      <c r="E4607" s="30"/>
    </row>
    <row r="4608" spans="3:5" x14ac:dyDescent="0.4">
      <c r="C4608" s="31"/>
      <c r="E4608" s="30"/>
    </row>
    <row r="4609" spans="3:5" x14ac:dyDescent="0.4">
      <c r="C4609" s="31"/>
      <c r="E4609" s="30"/>
    </row>
    <row r="4610" spans="3:5" x14ac:dyDescent="0.4">
      <c r="C4610" s="31"/>
      <c r="E4610" s="30"/>
    </row>
    <row r="4611" spans="3:5" x14ac:dyDescent="0.4">
      <c r="C4611" s="31"/>
      <c r="E4611" s="30"/>
    </row>
    <row r="4612" spans="3:5" x14ac:dyDescent="0.4">
      <c r="C4612" s="31"/>
      <c r="E4612" s="30"/>
    </row>
    <row r="4613" spans="3:5" x14ac:dyDescent="0.4">
      <c r="C4613" s="31"/>
      <c r="E4613" s="30"/>
    </row>
    <row r="4614" spans="3:5" x14ac:dyDescent="0.4">
      <c r="C4614" s="31"/>
      <c r="E4614" s="30"/>
    </row>
    <row r="4615" spans="3:5" x14ac:dyDescent="0.4">
      <c r="C4615" s="31"/>
      <c r="E4615" s="30"/>
    </row>
    <row r="4616" spans="3:5" x14ac:dyDescent="0.4">
      <c r="C4616" s="31"/>
      <c r="E4616" s="30"/>
    </row>
    <row r="4617" spans="3:5" x14ac:dyDescent="0.4">
      <c r="C4617" s="31"/>
      <c r="E4617" s="30"/>
    </row>
    <row r="4618" spans="3:5" x14ac:dyDescent="0.4">
      <c r="C4618" s="31"/>
      <c r="E4618" s="30"/>
    </row>
    <row r="4619" spans="3:5" x14ac:dyDescent="0.4">
      <c r="C4619" s="31"/>
      <c r="E4619" s="30"/>
    </row>
    <row r="4620" spans="3:5" x14ac:dyDescent="0.4">
      <c r="C4620" s="31"/>
      <c r="E4620" s="30"/>
    </row>
    <row r="4621" spans="3:5" x14ac:dyDescent="0.4">
      <c r="C4621" s="31"/>
      <c r="E4621" s="30"/>
    </row>
    <row r="4622" spans="3:5" x14ac:dyDescent="0.4">
      <c r="C4622" s="31"/>
      <c r="E4622" s="30"/>
    </row>
    <row r="4623" spans="3:5" x14ac:dyDescent="0.4">
      <c r="C4623" s="31"/>
      <c r="E4623" s="30"/>
    </row>
    <row r="4624" spans="3:5" x14ac:dyDescent="0.4">
      <c r="C4624" s="31"/>
      <c r="E4624" s="30"/>
    </row>
    <row r="4625" spans="3:5" x14ac:dyDescent="0.4">
      <c r="C4625" s="31"/>
      <c r="E4625" s="30"/>
    </row>
    <row r="4626" spans="3:5" x14ac:dyDescent="0.4">
      <c r="C4626" s="31"/>
      <c r="E4626" s="30"/>
    </row>
    <row r="4627" spans="3:5" x14ac:dyDescent="0.4">
      <c r="C4627" s="31"/>
      <c r="E4627" s="30"/>
    </row>
    <row r="4628" spans="3:5" x14ac:dyDescent="0.4">
      <c r="C4628" s="31"/>
      <c r="E4628" s="30"/>
    </row>
    <row r="4629" spans="3:5" x14ac:dyDescent="0.4">
      <c r="C4629" s="31"/>
      <c r="E4629" s="30"/>
    </row>
    <row r="4630" spans="3:5" x14ac:dyDescent="0.4">
      <c r="C4630" s="31"/>
      <c r="E4630" s="30"/>
    </row>
    <row r="4631" spans="3:5" x14ac:dyDescent="0.4">
      <c r="C4631" s="31"/>
      <c r="E4631" s="30"/>
    </row>
    <row r="4632" spans="3:5" x14ac:dyDescent="0.4">
      <c r="C4632" s="31"/>
      <c r="E4632" s="30"/>
    </row>
    <row r="4633" spans="3:5" x14ac:dyDescent="0.4">
      <c r="C4633" s="31"/>
      <c r="E4633" s="30"/>
    </row>
    <row r="4634" spans="3:5" x14ac:dyDescent="0.4">
      <c r="C4634" s="31"/>
      <c r="E4634" s="30"/>
    </row>
    <row r="4635" spans="3:5" x14ac:dyDescent="0.4">
      <c r="C4635" s="31"/>
      <c r="E4635" s="30"/>
    </row>
    <row r="4636" spans="3:5" x14ac:dyDescent="0.4">
      <c r="C4636" s="31"/>
      <c r="E4636" s="30"/>
    </row>
    <row r="4637" spans="3:5" x14ac:dyDescent="0.4">
      <c r="C4637" s="31"/>
      <c r="E4637" s="30"/>
    </row>
    <row r="4638" spans="3:5" x14ac:dyDescent="0.4">
      <c r="C4638" s="31"/>
      <c r="E4638" s="30"/>
    </row>
    <row r="4639" spans="3:5" x14ac:dyDescent="0.4">
      <c r="C4639" s="31"/>
      <c r="E4639" s="30"/>
    </row>
    <row r="4640" spans="3:5" x14ac:dyDescent="0.4">
      <c r="C4640" s="31"/>
      <c r="E4640" s="30"/>
    </row>
    <row r="4641" spans="3:5" x14ac:dyDescent="0.4">
      <c r="C4641" s="31"/>
      <c r="E4641" s="30"/>
    </row>
    <row r="4642" spans="3:5" x14ac:dyDescent="0.4">
      <c r="C4642" s="31"/>
      <c r="E4642" s="30"/>
    </row>
    <row r="4643" spans="3:5" x14ac:dyDescent="0.4">
      <c r="C4643" s="31"/>
      <c r="E4643" s="30"/>
    </row>
    <row r="4644" spans="3:5" x14ac:dyDescent="0.4">
      <c r="C4644" s="31"/>
      <c r="E4644" s="30"/>
    </row>
    <row r="4645" spans="3:5" x14ac:dyDescent="0.4">
      <c r="C4645" s="31"/>
      <c r="E4645" s="30"/>
    </row>
    <row r="4646" spans="3:5" x14ac:dyDescent="0.4">
      <c r="C4646" s="31"/>
      <c r="E4646" s="30"/>
    </row>
    <row r="4647" spans="3:5" x14ac:dyDescent="0.4">
      <c r="C4647" s="31"/>
      <c r="E4647" s="30"/>
    </row>
    <row r="4648" spans="3:5" x14ac:dyDescent="0.4">
      <c r="C4648" s="31"/>
      <c r="E4648" s="30"/>
    </row>
    <row r="4649" spans="3:5" x14ac:dyDescent="0.4">
      <c r="C4649" s="31"/>
      <c r="E4649" s="30"/>
    </row>
    <row r="4650" spans="3:5" x14ac:dyDescent="0.4">
      <c r="C4650" s="31"/>
      <c r="E4650" s="30"/>
    </row>
    <row r="4651" spans="3:5" x14ac:dyDescent="0.4">
      <c r="C4651" s="31"/>
      <c r="E4651" s="30"/>
    </row>
    <row r="4652" spans="3:5" x14ac:dyDescent="0.4">
      <c r="C4652" s="31"/>
      <c r="E4652" s="30"/>
    </row>
    <row r="4653" spans="3:5" x14ac:dyDescent="0.4">
      <c r="C4653" s="31"/>
      <c r="E4653" s="30"/>
    </row>
    <row r="4654" spans="3:5" x14ac:dyDescent="0.4">
      <c r="C4654" s="31"/>
      <c r="E4654" s="30"/>
    </row>
    <row r="4655" spans="3:5" x14ac:dyDescent="0.4">
      <c r="C4655" s="31"/>
      <c r="E4655" s="30"/>
    </row>
    <row r="4656" spans="3:5" x14ac:dyDescent="0.4">
      <c r="C4656" s="31"/>
      <c r="E4656" s="30"/>
    </row>
    <row r="4657" spans="3:5" x14ac:dyDescent="0.4">
      <c r="C4657" s="31"/>
      <c r="E4657" s="30"/>
    </row>
    <row r="4658" spans="3:5" x14ac:dyDescent="0.4">
      <c r="C4658" s="31"/>
      <c r="E4658" s="30"/>
    </row>
    <row r="4659" spans="3:5" x14ac:dyDescent="0.4">
      <c r="C4659" s="31"/>
      <c r="E4659" s="30"/>
    </row>
    <row r="4660" spans="3:5" x14ac:dyDescent="0.4">
      <c r="C4660" s="31"/>
      <c r="E4660" s="30"/>
    </row>
    <row r="4661" spans="3:5" x14ac:dyDescent="0.4">
      <c r="C4661" s="31"/>
      <c r="E4661" s="30"/>
    </row>
    <row r="4662" spans="3:5" x14ac:dyDescent="0.4">
      <c r="C4662" s="31"/>
      <c r="E4662" s="30"/>
    </row>
    <row r="4663" spans="3:5" x14ac:dyDescent="0.4">
      <c r="C4663" s="31"/>
      <c r="E4663" s="30"/>
    </row>
    <row r="4664" spans="3:5" x14ac:dyDescent="0.4">
      <c r="C4664" s="31"/>
      <c r="E4664" s="30"/>
    </row>
    <row r="4665" spans="3:5" x14ac:dyDescent="0.4">
      <c r="C4665" s="31"/>
      <c r="E4665" s="30"/>
    </row>
    <row r="4666" spans="3:5" x14ac:dyDescent="0.4">
      <c r="C4666" s="31"/>
      <c r="E4666" s="30"/>
    </row>
    <row r="4667" spans="3:5" x14ac:dyDescent="0.4">
      <c r="C4667" s="31"/>
      <c r="E4667" s="30"/>
    </row>
    <row r="4668" spans="3:5" x14ac:dyDescent="0.4">
      <c r="C4668" s="31"/>
      <c r="E4668" s="30"/>
    </row>
    <row r="4669" spans="3:5" x14ac:dyDescent="0.4">
      <c r="C4669" s="31"/>
      <c r="E4669" s="30"/>
    </row>
    <row r="4670" spans="3:5" x14ac:dyDescent="0.4">
      <c r="C4670" s="31"/>
      <c r="E4670" s="30"/>
    </row>
    <row r="4671" spans="3:5" x14ac:dyDescent="0.4">
      <c r="C4671" s="31"/>
      <c r="E4671" s="30"/>
    </row>
    <row r="4672" spans="3:5" x14ac:dyDescent="0.4">
      <c r="C4672" s="31"/>
      <c r="E4672" s="30"/>
    </row>
    <row r="4673" spans="3:5" x14ac:dyDescent="0.4">
      <c r="C4673" s="31"/>
      <c r="E4673" s="30"/>
    </row>
    <row r="4674" spans="3:5" x14ac:dyDescent="0.4">
      <c r="C4674" s="31"/>
      <c r="E4674" s="30"/>
    </row>
    <row r="4675" spans="3:5" x14ac:dyDescent="0.4">
      <c r="C4675" s="31"/>
      <c r="E4675" s="30"/>
    </row>
    <row r="4676" spans="3:5" x14ac:dyDescent="0.4">
      <c r="C4676" s="31"/>
      <c r="E4676" s="30"/>
    </row>
    <row r="4677" spans="3:5" x14ac:dyDescent="0.4">
      <c r="C4677" s="31"/>
      <c r="E4677" s="30"/>
    </row>
    <row r="4678" spans="3:5" x14ac:dyDescent="0.4">
      <c r="C4678" s="31"/>
      <c r="E4678" s="30"/>
    </row>
    <row r="4679" spans="3:5" x14ac:dyDescent="0.4">
      <c r="C4679" s="31"/>
      <c r="E4679" s="30"/>
    </row>
    <row r="4680" spans="3:5" x14ac:dyDescent="0.4">
      <c r="C4680" s="31"/>
      <c r="E4680" s="30"/>
    </row>
    <row r="4681" spans="3:5" x14ac:dyDescent="0.4">
      <c r="C4681" s="31"/>
      <c r="E4681" s="30"/>
    </row>
    <row r="4682" spans="3:5" x14ac:dyDescent="0.4">
      <c r="C4682" s="31"/>
      <c r="E4682" s="30"/>
    </row>
    <row r="4683" spans="3:5" x14ac:dyDescent="0.4">
      <c r="C4683" s="31"/>
      <c r="E4683" s="30"/>
    </row>
    <row r="4684" spans="3:5" x14ac:dyDescent="0.4">
      <c r="C4684" s="31"/>
      <c r="E4684" s="30"/>
    </row>
    <row r="4685" spans="3:5" x14ac:dyDescent="0.4">
      <c r="C4685" s="31"/>
      <c r="E4685" s="30"/>
    </row>
    <row r="4686" spans="3:5" x14ac:dyDescent="0.4">
      <c r="C4686" s="31"/>
      <c r="E4686" s="30"/>
    </row>
    <row r="4687" spans="3:5" x14ac:dyDescent="0.4">
      <c r="C4687" s="31"/>
      <c r="E4687" s="30"/>
    </row>
    <row r="4688" spans="3:5" x14ac:dyDescent="0.4">
      <c r="C4688" s="31"/>
      <c r="E4688" s="30"/>
    </row>
    <row r="4689" spans="3:5" x14ac:dyDescent="0.4">
      <c r="C4689" s="31"/>
      <c r="E4689" s="30"/>
    </row>
    <row r="4690" spans="3:5" x14ac:dyDescent="0.4">
      <c r="C4690" s="31"/>
      <c r="E4690" s="30"/>
    </row>
    <row r="4691" spans="3:5" x14ac:dyDescent="0.4">
      <c r="C4691" s="31"/>
      <c r="E4691" s="30"/>
    </row>
    <row r="4692" spans="3:5" x14ac:dyDescent="0.4">
      <c r="C4692" s="31"/>
      <c r="E4692" s="30"/>
    </row>
    <row r="4693" spans="3:5" x14ac:dyDescent="0.4">
      <c r="C4693" s="31"/>
      <c r="E4693" s="30"/>
    </row>
    <row r="4694" spans="3:5" x14ac:dyDescent="0.4">
      <c r="C4694" s="31"/>
      <c r="E4694" s="30"/>
    </row>
    <row r="4695" spans="3:5" x14ac:dyDescent="0.4">
      <c r="C4695" s="31"/>
      <c r="E4695" s="30"/>
    </row>
    <row r="4696" spans="3:5" x14ac:dyDescent="0.4">
      <c r="C4696" s="31"/>
      <c r="E4696" s="30"/>
    </row>
    <row r="4697" spans="3:5" x14ac:dyDescent="0.4">
      <c r="C4697" s="31"/>
      <c r="E4697" s="30"/>
    </row>
    <row r="4698" spans="3:5" x14ac:dyDescent="0.4">
      <c r="C4698" s="31"/>
      <c r="E4698" s="30"/>
    </row>
    <row r="4699" spans="3:5" x14ac:dyDescent="0.4">
      <c r="C4699" s="31"/>
      <c r="E4699" s="30"/>
    </row>
    <row r="4700" spans="3:5" x14ac:dyDescent="0.4">
      <c r="C4700" s="31"/>
      <c r="E4700" s="30"/>
    </row>
    <row r="4701" spans="3:5" x14ac:dyDescent="0.4">
      <c r="C4701" s="31"/>
      <c r="E4701" s="30"/>
    </row>
    <row r="4702" spans="3:5" x14ac:dyDescent="0.4">
      <c r="C4702" s="31"/>
      <c r="E4702" s="30"/>
    </row>
    <row r="4703" spans="3:5" x14ac:dyDescent="0.4">
      <c r="C4703" s="31"/>
      <c r="E4703" s="30"/>
    </row>
    <row r="4704" spans="3:5" x14ac:dyDescent="0.4">
      <c r="C4704" s="31"/>
      <c r="E4704" s="30"/>
    </row>
    <row r="4705" spans="3:5" x14ac:dyDescent="0.4">
      <c r="C4705" s="31"/>
      <c r="E4705" s="30"/>
    </row>
    <row r="4706" spans="3:5" x14ac:dyDescent="0.4">
      <c r="C4706" s="31"/>
      <c r="E4706" s="30"/>
    </row>
    <row r="4707" spans="3:5" x14ac:dyDescent="0.4">
      <c r="C4707" s="31"/>
      <c r="E4707" s="30"/>
    </row>
    <row r="4708" spans="3:5" x14ac:dyDescent="0.4">
      <c r="C4708" s="31"/>
      <c r="E4708" s="30"/>
    </row>
    <row r="4709" spans="3:5" x14ac:dyDescent="0.4">
      <c r="C4709" s="31"/>
      <c r="E4709" s="30"/>
    </row>
    <row r="4710" spans="3:5" x14ac:dyDescent="0.4">
      <c r="C4710" s="31"/>
      <c r="E4710" s="30"/>
    </row>
    <row r="4711" spans="3:5" x14ac:dyDescent="0.4">
      <c r="C4711" s="31"/>
      <c r="E4711" s="30"/>
    </row>
    <row r="4712" spans="3:5" x14ac:dyDescent="0.4">
      <c r="C4712" s="31"/>
      <c r="E4712" s="30"/>
    </row>
    <row r="4713" spans="3:5" x14ac:dyDescent="0.4">
      <c r="C4713" s="31"/>
      <c r="E4713" s="30"/>
    </row>
    <row r="4714" spans="3:5" x14ac:dyDescent="0.4">
      <c r="C4714" s="31"/>
      <c r="E4714" s="30"/>
    </row>
    <row r="4715" spans="3:5" x14ac:dyDescent="0.4">
      <c r="C4715" s="31"/>
      <c r="E4715" s="30"/>
    </row>
    <row r="4716" spans="3:5" x14ac:dyDescent="0.4">
      <c r="C4716" s="31"/>
      <c r="E4716" s="30"/>
    </row>
    <row r="4717" spans="3:5" x14ac:dyDescent="0.4">
      <c r="C4717" s="31"/>
      <c r="E4717" s="30"/>
    </row>
    <row r="4718" spans="3:5" x14ac:dyDescent="0.4">
      <c r="C4718" s="31"/>
      <c r="E4718" s="30"/>
    </row>
    <row r="4719" spans="3:5" x14ac:dyDescent="0.4">
      <c r="C4719" s="31"/>
      <c r="E4719" s="30"/>
    </row>
    <row r="4720" spans="3:5" x14ac:dyDescent="0.4">
      <c r="C4720" s="31"/>
      <c r="E4720" s="30"/>
    </row>
    <row r="4721" spans="3:5" x14ac:dyDescent="0.4">
      <c r="C4721" s="31"/>
      <c r="E4721" s="30"/>
    </row>
    <row r="4722" spans="3:5" x14ac:dyDescent="0.4">
      <c r="C4722" s="31"/>
      <c r="E4722" s="30"/>
    </row>
    <row r="4723" spans="3:5" x14ac:dyDescent="0.4">
      <c r="C4723" s="31"/>
      <c r="E4723" s="30"/>
    </row>
    <row r="4724" spans="3:5" x14ac:dyDescent="0.4">
      <c r="C4724" s="31"/>
      <c r="E4724" s="30"/>
    </row>
    <row r="4725" spans="3:5" x14ac:dyDescent="0.4">
      <c r="C4725" s="31"/>
      <c r="E4725" s="30"/>
    </row>
    <row r="4726" spans="3:5" x14ac:dyDescent="0.4">
      <c r="C4726" s="31"/>
      <c r="E4726" s="30"/>
    </row>
    <row r="4727" spans="3:5" x14ac:dyDescent="0.4">
      <c r="C4727" s="31"/>
      <c r="E4727" s="30"/>
    </row>
    <row r="4728" spans="3:5" x14ac:dyDescent="0.4">
      <c r="C4728" s="31"/>
      <c r="E4728" s="30"/>
    </row>
    <row r="4729" spans="3:5" x14ac:dyDescent="0.4">
      <c r="C4729" s="31"/>
      <c r="E4729" s="30"/>
    </row>
    <row r="4730" spans="3:5" x14ac:dyDescent="0.4">
      <c r="C4730" s="31"/>
      <c r="E4730" s="30"/>
    </row>
    <row r="4731" spans="3:5" x14ac:dyDescent="0.4">
      <c r="C4731" s="31"/>
      <c r="E4731" s="30"/>
    </row>
    <row r="4732" spans="3:5" x14ac:dyDescent="0.4">
      <c r="C4732" s="31"/>
      <c r="E4732" s="30"/>
    </row>
    <row r="4733" spans="3:5" x14ac:dyDescent="0.4">
      <c r="C4733" s="31"/>
      <c r="E4733" s="30"/>
    </row>
    <row r="4734" spans="3:5" x14ac:dyDescent="0.4">
      <c r="C4734" s="31"/>
      <c r="E4734" s="30"/>
    </row>
    <row r="4735" spans="3:5" x14ac:dyDescent="0.4">
      <c r="C4735" s="31"/>
      <c r="E4735" s="30"/>
    </row>
    <row r="4736" spans="3:5" x14ac:dyDescent="0.4">
      <c r="C4736" s="31"/>
      <c r="E4736" s="30"/>
    </row>
    <row r="4737" spans="3:5" x14ac:dyDescent="0.4">
      <c r="C4737" s="31"/>
      <c r="E4737" s="30"/>
    </row>
    <row r="4738" spans="3:5" x14ac:dyDescent="0.4">
      <c r="C4738" s="31"/>
      <c r="E4738" s="30"/>
    </row>
    <row r="4739" spans="3:5" x14ac:dyDescent="0.4">
      <c r="C4739" s="31"/>
      <c r="E4739" s="30"/>
    </row>
    <row r="4740" spans="3:5" x14ac:dyDescent="0.4">
      <c r="C4740" s="31"/>
      <c r="E4740" s="30"/>
    </row>
    <row r="4741" spans="3:5" x14ac:dyDescent="0.4">
      <c r="C4741" s="31"/>
      <c r="E4741" s="30"/>
    </row>
    <row r="4742" spans="3:5" x14ac:dyDescent="0.4">
      <c r="C4742" s="31"/>
      <c r="E4742" s="30"/>
    </row>
    <row r="4743" spans="3:5" x14ac:dyDescent="0.4">
      <c r="C4743" s="31"/>
      <c r="E4743" s="30"/>
    </row>
    <row r="4744" spans="3:5" x14ac:dyDescent="0.4">
      <c r="C4744" s="31"/>
      <c r="E4744" s="30"/>
    </row>
    <row r="4745" spans="3:5" x14ac:dyDescent="0.4">
      <c r="C4745" s="31"/>
      <c r="E4745" s="30"/>
    </row>
    <row r="4746" spans="3:5" x14ac:dyDescent="0.4">
      <c r="C4746" s="31"/>
      <c r="E4746" s="30"/>
    </row>
    <row r="4747" spans="3:5" x14ac:dyDescent="0.4">
      <c r="C4747" s="31"/>
      <c r="E4747" s="30"/>
    </row>
    <row r="4748" spans="3:5" x14ac:dyDescent="0.4">
      <c r="C4748" s="31"/>
      <c r="E4748" s="30"/>
    </row>
    <row r="4749" spans="3:5" x14ac:dyDescent="0.4">
      <c r="C4749" s="31"/>
      <c r="E4749" s="30"/>
    </row>
    <row r="4750" spans="3:5" x14ac:dyDescent="0.4">
      <c r="C4750" s="31"/>
      <c r="E4750" s="30"/>
    </row>
    <row r="4751" spans="3:5" x14ac:dyDescent="0.4">
      <c r="C4751" s="31"/>
      <c r="E4751" s="30"/>
    </row>
    <row r="4752" spans="3:5" x14ac:dyDescent="0.4">
      <c r="C4752" s="31"/>
      <c r="E4752" s="30"/>
    </row>
    <row r="4753" spans="3:5" x14ac:dyDescent="0.4">
      <c r="C4753" s="31"/>
      <c r="E4753" s="30"/>
    </row>
    <row r="4754" spans="3:5" x14ac:dyDescent="0.4">
      <c r="C4754" s="31"/>
      <c r="E4754" s="30"/>
    </row>
    <row r="4755" spans="3:5" x14ac:dyDescent="0.4">
      <c r="C4755" s="31"/>
      <c r="E4755" s="30"/>
    </row>
    <row r="4756" spans="3:5" x14ac:dyDescent="0.4">
      <c r="C4756" s="31"/>
      <c r="E4756" s="30"/>
    </row>
    <row r="4757" spans="3:5" x14ac:dyDescent="0.4">
      <c r="C4757" s="31"/>
      <c r="E4757" s="30"/>
    </row>
    <row r="4758" spans="3:5" x14ac:dyDescent="0.4">
      <c r="C4758" s="31"/>
      <c r="E4758" s="30"/>
    </row>
    <row r="4759" spans="3:5" x14ac:dyDescent="0.4">
      <c r="C4759" s="31"/>
      <c r="E4759" s="30"/>
    </row>
    <row r="4760" spans="3:5" x14ac:dyDescent="0.4">
      <c r="C4760" s="31"/>
      <c r="E4760" s="30"/>
    </row>
    <row r="4761" spans="3:5" x14ac:dyDescent="0.4">
      <c r="C4761" s="31"/>
      <c r="E4761" s="30"/>
    </row>
    <row r="4762" spans="3:5" x14ac:dyDescent="0.4">
      <c r="C4762" s="31"/>
      <c r="E4762" s="30"/>
    </row>
    <row r="4763" spans="3:5" x14ac:dyDescent="0.4">
      <c r="C4763" s="31"/>
      <c r="E4763" s="30"/>
    </row>
    <row r="4764" spans="3:5" x14ac:dyDescent="0.4">
      <c r="C4764" s="31"/>
      <c r="E4764" s="30"/>
    </row>
    <row r="4765" spans="3:5" x14ac:dyDescent="0.4">
      <c r="C4765" s="31"/>
      <c r="E4765" s="30"/>
    </row>
    <row r="4766" spans="3:5" x14ac:dyDescent="0.4">
      <c r="C4766" s="31"/>
      <c r="E4766" s="30"/>
    </row>
    <row r="4767" spans="3:5" x14ac:dyDescent="0.4">
      <c r="C4767" s="31"/>
      <c r="E4767" s="30"/>
    </row>
    <row r="4768" spans="3:5" x14ac:dyDescent="0.4">
      <c r="C4768" s="31"/>
      <c r="E4768" s="30"/>
    </row>
    <row r="4769" spans="3:5" x14ac:dyDescent="0.4">
      <c r="C4769" s="31"/>
      <c r="E4769" s="30"/>
    </row>
    <row r="4770" spans="3:5" x14ac:dyDescent="0.4">
      <c r="C4770" s="31"/>
      <c r="E4770" s="30"/>
    </row>
    <row r="4771" spans="3:5" x14ac:dyDescent="0.4">
      <c r="C4771" s="31"/>
      <c r="E4771" s="30"/>
    </row>
    <row r="4772" spans="3:5" x14ac:dyDescent="0.4">
      <c r="C4772" s="31"/>
      <c r="E4772" s="30"/>
    </row>
    <row r="4773" spans="3:5" x14ac:dyDescent="0.4">
      <c r="C4773" s="31"/>
      <c r="E4773" s="30"/>
    </row>
    <row r="4774" spans="3:5" x14ac:dyDescent="0.4">
      <c r="C4774" s="31"/>
      <c r="E4774" s="30"/>
    </row>
    <row r="4775" spans="3:5" x14ac:dyDescent="0.4">
      <c r="C4775" s="31"/>
      <c r="E4775" s="30"/>
    </row>
    <row r="4776" spans="3:5" x14ac:dyDescent="0.4">
      <c r="C4776" s="31"/>
      <c r="E4776" s="30"/>
    </row>
    <row r="4777" spans="3:5" x14ac:dyDescent="0.4">
      <c r="C4777" s="31"/>
      <c r="E4777" s="30"/>
    </row>
    <row r="4778" spans="3:5" x14ac:dyDescent="0.4">
      <c r="C4778" s="31"/>
      <c r="E4778" s="30"/>
    </row>
    <row r="4779" spans="3:5" x14ac:dyDescent="0.4">
      <c r="C4779" s="31"/>
      <c r="E4779" s="30"/>
    </row>
    <row r="4780" spans="3:5" x14ac:dyDescent="0.4">
      <c r="C4780" s="31"/>
      <c r="E4780" s="30"/>
    </row>
    <row r="4781" spans="3:5" x14ac:dyDescent="0.4">
      <c r="C4781" s="31"/>
      <c r="E4781" s="30"/>
    </row>
    <row r="4782" spans="3:5" x14ac:dyDescent="0.4">
      <c r="C4782" s="31"/>
      <c r="E4782" s="30"/>
    </row>
    <row r="4783" spans="3:5" x14ac:dyDescent="0.4">
      <c r="C4783" s="31"/>
      <c r="E4783" s="30"/>
    </row>
    <row r="4784" spans="3:5" x14ac:dyDescent="0.4">
      <c r="C4784" s="31"/>
      <c r="E4784" s="30"/>
    </row>
    <row r="4785" spans="3:5" x14ac:dyDescent="0.4">
      <c r="C4785" s="31"/>
      <c r="E4785" s="30"/>
    </row>
    <row r="4786" spans="3:5" x14ac:dyDescent="0.4">
      <c r="C4786" s="31"/>
      <c r="E4786" s="30"/>
    </row>
    <row r="4787" spans="3:5" x14ac:dyDescent="0.4">
      <c r="C4787" s="31"/>
      <c r="E4787" s="30"/>
    </row>
    <row r="4788" spans="3:5" x14ac:dyDescent="0.4">
      <c r="C4788" s="31"/>
      <c r="E4788" s="30"/>
    </row>
    <row r="4789" spans="3:5" x14ac:dyDescent="0.4">
      <c r="C4789" s="31"/>
      <c r="E4789" s="30"/>
    </row>
    <row r="4790" spans="3:5" x14ac:dyDescent="0.4">
      <c r="C4790" s="31"/>
      <c r="E4790" s="30"/>
    </row>
    <row r="4791" spans="3:5" x14ac:dyDescent="0.4">
      <c r="C4791" s="31"/>
      <c r="E4791" s="30"/>
    </row>
    <row r="4792" spans="3:5" x14ac:dyDescent="0.4">
      <c r="C4792" s="31"/>
      <c r="E4792" s="30"/>
    </row>
    <row r="4793" spans="3:5" x14ac:dyDescent="0.4">
      <c r="C4793" s="31"/>
      <c r="E4793" s="30"/>
    </row>
    <row r="4794" spans="3:5" x14ac:dyDescent="0.4">
      <c r="C4794" s="31"/>
      <c r="E4794" s="30"/>
    </row>
    <row r="4795" spans="3:5" x14ac:dyDescent="0.4">
      <c r="C4795" s="31"/>
      <c r="E4795" s="30"/>
    </row>
    <row r="4796" spans="3:5" x14ac:dyDescent="0.4">
      <c r="C4796" s="31"/>
      <c r="E4796" s="30"/>
    </row>
    <row r="4797" spans="3:5" x14ac:dyDescent="0.4">
      <c r="C4797" s="31"/>
      <c r="E4797" s="30"/>
    </row>
    <row r="4798" spans="3:5" x14ac:dyDescent="0.4">
      <c r="C4798" s="31"/>
      <c r="E4798" s="30"/>
    </row>
    <row r="4799" spans="3:5" x14ac:dyDescent="0.4">
      <c r="C4799" s="31"/>
      <c r="E4799" s="30"/>
    </row>
    <row r="4800" spans="3:5" x14ac:dyDescent="0.4">
      <c r="C4800" s="31"/>
      <c r="E4800" s="30"/>
    </row>
    <row r="4801" spans="3:5" x14ac:dyDescent="0.4">
      <c r="C4801" s="31"/>
      <c r="E4801" s="30"/>
    </row>
    <row r="4802" spans="3:5" x14ac:dyDescent="0.4">
      <c r="C4802" s="31"/>
      <c r="E4802" s="30"/>
    </row>
    <row r="4803" spans="3:5" x14ac:dyDescent="0.4">
      <c r="C4803" s="31"/>
      <c r="E4803" s="30"/>
    </row>
    <row r="4804" spans="3:5" x14ac:dyDescent="0.4">
      <c r="C4804" s="31"/>
      <c r="E4804" s="30"/>
    </row>
    <row r="4805" spans="3:5" x14ac:dyDescent="0.4">
      <c r="C4805" s="31"/>
      <c r="E4805" s="30"/>
    </row>
    <row r="4806" spans="3:5" x14ac:dyDescent="0.4">
      <c r="C4806" s="31"/>
      <c r="E4806" s="30"/>
    </row>
    <row r="4807" spans="3:5" x14ac:dyDescent="0.4">
      <c r="C4807" s="31"/>
      <c r="E4807" s="30"/>
    </row>
    <row r="4808" spans="3:5" x14ac:dyDescent="0.4">
      <c r="C4808" s="31"/>
      <c r="E4808" s="30"/>
    </row>
    <row r="4809" spans="3:5" x14ac:dyDescent="0.4">
      <c r="C4809" s="31"/>
      <c r="E4809" s="30"/>
    </row>
    <row r="4810" spans="3:5" x14ac:dyDescent="0.4">
      <c r="C4810" s="31"/>
      <c r="E4810" s="30"/>
    </row>
    <row r="4811" spans="3:5" x14ac:dyDescent="0.4">
      <c r="C4811" s="31"/>
      <c r="E4811" s="30"/>
    </row>
    <row r="4812" spans="3:5" x14ac:dyDescent="0.4">
      <c r="C4812" s="31"/>
      <c r="E4812" s="30"/>
    </row>
    <row r="4813" spans="3:5" x14ac:dyDescent="0.4">
      <c r="C4813" s="31"/>
      <c r="E4813" s="30"/>
    </row>
    <row r="4814" spans="3:5" x14ac:dyDescent="0.4">
      <c r="C4814" s="31"/>
      <c r="E4814" s="30"/>
    </row>
    <row r="4815" spans="3:5" x14ac:dyDescent="0.4">
      <c r="C4815" s="31"/>
      <c r="E4815" s="30"/>
    </row>
    <row r="4816" spans="3:5" x14ac:dyDescent="0.4">
      <c r="C4816" s="31"/>
      <c r="E4816" s="30"/>
    </row>
    <row r="4817" spans="3:5" x14ac:dyDescent="0.4">
      <c r="C4817" s="31"/>
      <c r="E4817" s="30"/>
    </row>
    <row r="4818" spans="3:5" x14ac:dyDescent="0.4">
      <c r="C4818" s="31"/>
      <c r="E4818" s="30"/>
    </row>
    <row r="4819" spans="3:5" x14ac:dyDescent="0.4">
      <c r="C4819" s="31"/>
      <c r="E4819" s="30"/>
    </row>
    <row r="4820" spans="3:5" x14ac:dyDescent="0.4">
      <c r="C4820" s="31"/>
      <c r="E4820" s="30"/>
    </row>
    <row r="4821" spans="3:5" x14ac:dyDescent="0.4">
      <c r="C4821" s="31"/>
      <c r="E4821" s="30"/>
    </row>
    <row r="4822" spans="3:5" x14ac:dyDescent="0.4">
      <c r="C4822" s="31"/>
      <c r="E4822" s="30"/>
    </row>
    <row r="4823" spans="3:5" x14ac:dyDescent="0.4">
      <c r="C4823" s="31"/>
      <c r="E4823" s="30"/>
    </row>
    <row r="4824" spans="3:5" x14ac:dyDescent="0.4">
      <c r="C4824" s="31"/>
      <c r="E4824" s="30"/>
    </row>
    <row r="4825" spans="3:5" x14ac:dyDescent="0.4">
      <c r="C4825" s="31"/>
      <c r="E4825" s="30"/>
    </row>
    <row r="4826" spans="3:5" x14ac:dyDescent="0.4">
      <c r="C4826" s="31"/>
      <c r="E4826" s="30"/>
    </row>
    <row r="4827" spans="3:5" x14ac:dyDescent="0.4">
      <c r="C4827" s="31"/>
      <c r="E4827" s="30"/>
    </row>
    <row r="4828" spans="3:5" x14ac:dyDescent="0.4">
      <c r="C4828" s="31"/>
      <c r="E4828" s="30"/>
    </row>
    <row r="4829" spans="3:5" x14ac:dyDescent="0.4">
      <c r="C4829" s="31"/>
      <c r="E4829" s="30"/>
    </row>
    <row r="4830" spans="3:5" x14ac:dyDescent="0.4">
      <c r="C4830" s="31"/>
      <c r="E4830" s="30"/>
    </row>
    <row r="4831" spans="3:5" x14ac:dyDescent="0.4">
      <c r="C4831" s="31"/>
      <c r="E4831" s="30"/>
    </row>
    <row r="4832" spans="3:5" x14ac:dyDescent="0.4">
      <c r="C4832" s="31"/>
      <c r="E4832" s="30"/>
    </row>
    <row r="4833" spans="3:5" x14ac:dyDescent="0.4">
      <c r="C4833" s="31"/>
      <c r="E4833" s="30"/>
    </row>
    <row r="4834" spans="3:5" x14ac:dyDescent="0.4">
      <c r="C4834" s="31"/>
      <c r="E4834" s="30"/>
    </row>
    <row r="4835" spans="3:5" x14ac:dyDescent="0.4">
      <c r="C4835" s="31"/>
      <c r="E4835" s="30"/>
    </row>
    <row r="4836" spans="3:5" x14ac:dyDescent="0.4">
      <c r="C4836" s="31"/>
      <c r="E4836" s="30"/>
    </row>
    <row r="4837" spans="3:5" x14ac:dyDescent="0.4">
      <c r="C4837" s="31"/>
      <c r="E4837" s="30"/>
    </row>
    <row r="4838" spans="3:5" x14ac:dyDescent="0.4">
      <c r="C4838" s="31"/>
      <c r="E4838" s="30"/>
    </row>
    <row r="4839" spans="3:5" x14ac:dyDescent="0.4">
      <c r="C4839" s="31"/>
      <c r="E4839" s="30"/>
    </row>
    <row r="4840" spans="3:5" x14ac:dyDescent="0.4">
      <c r="C4840" s="31"/>
      <c r="E4840" s="30"/>
    </row>
    <row r="4841" spans="3:5" x14ac:dyDescent="0.4">
      <c r="C4841" s="31"/>
      <c r="E4841" s="30"/>
    </row>
    <row r="4842" spans="3:5" x14ac:dyDescent="0.4">
      <c r="C4842" s="31"/>
      <c r="E4842" s="30"/>
    </row>
    <row r="4843" spans="3:5" x14ac:dyDescent="0.4">
      <c r="C4843" s="31"/>
      <c r="E4843" s="30"/>
    </row>
    <row r="4844" spans="3:5" x14ac:dyDescent="0.4">
      <c r="C4844" s="31"/>
      <c r="E4844" s="30"/>
    </row>
    <row r="4845" spans="3:5" x14ac:dyDescent="0.4">
      <c r="C4845" s="31"/>
      <c r="E4845" s="30"/>
    </row>
    <row r="4846" spans="3:5" x14ac:dyDescent="0.4">
      <c r="C4846" s="31"/>
      <c r="E4846" s="30"/>
    </row>
    <row r="4847" spans="3:5" x14ac:dyDescent="0.4">
      <c r="C4847" s="31"/>
      <c r="E4847" s="30"/>
    </row>
    <row r="4848" spans="3:5" x14ac:dyDescent="0.4">
      <c r="C4848" s="31"/>
      <c r="E4848" s="30"/>
    </row>
    <row r="4849" spans="3:5" x14ac:dyDescent="0.4">
      <c r="C4849" s="31"/>
      <c r="E4849" s="30"/>
    </row>
    <row r="4850" spans="3:5" x14ac:dyDescent="0.4">
      <c r="C4850" s="31"/>
      <c r="E4850" s="30"/>
    </row>
    <row r="4851" spans="3:5" x14ac:dyDescent="0.4">
      <c r="C4851" s="31"/>
      <c r="E4851" s="30"/>
    </row>
    <row r="4852" spans="3:5" x14ac:dyDescent="0.4">
      <c r="C4852" s="31"/>
      <c r="E4852" s="30"/>
    </row>
    <row r="4853" spans="3:5" x14ac:dyDescent="0.4">
      <c r="C4853" s="31"/>
      <c r="E4853" s="30"/>
    </row>
    <row r="4854" spans="3:5" x14ac:dyDescent="0.4">
      <c r="C4854" s="31"/>
      <c r="E4854" s="30"/>
    </row>
    <row r="4855" spans="3:5" x14ac:dyDescent="0.4">
      <c r="C4855" s="31"/>
      <c r="E4855" s="30"/>
    </row>
    <row r="4856" spans="3:5" x14ac:dyDescent="0.4">
      <c r="C4856" s="31"/>
      <c r="E4856" s="30"/>
    </row>
    <row r="4857" spans="3:5" x14ac:dyDescent="0.4">
      <c r="C4857" s="31"/>
      <c r="E4857" s="30"/>
    </row>
    <row r="4858" spans="3:5" x14ac:dyDescent="0.4">
      <c r="C4858" s="31"/>
      <c r="E4858" s="30"/>
    </row>
    <row r="4859" spans="3:5" x14ac:dyDescent="0.4">
      <c r="C4859" s="31"/>
      <c r="E4859" s="30"/>
    </row>
    <row r="4860" spans="3:5" x14ac:dyDescent="0.4">
      <c r="C4860" s="31"/>
      <c r="E4860" s="30"/>
    </row>
    <row r="4861" spans="3:5" x14ac:dyDescent="0.4">
      <c r="C4861" s="31"/>
      <c r="E4861" s="30"/>
    </row>
    <row r="4862" spans="3:5" x14ac:dyDescent="0.4">
      <c r="C4862" s="31"/>
      <c r="E4862" s="30"/>
    </row>
    <row r="4863" spans="3:5" x14ac:dyDescent="0.4">
      <c r="C4863" s="31"/>
      <c r="E4863" s="30"/>
    </row>
    <row r="4864" spans="3:5" x14ac:dyDescent="0.4">
      <c r="C4864" s="31"/>
      <c r="E4864" s="30"/>
    </row>
    <row r="4865" spans="3:5" x14ac:dyDescent="0.4">
      <c r="C4865" s="31"/>
      <c r="E4865" s="30"/>
    </row>
    <row r="4866" spans="3:5" x14ac:dyDescent="0.4">
      <c r="C4866" s="31"/>
      <c r="E4866" s="30"/>
    </row>
    <row r="4867" spans="3:5" x14ac:dyDescent="0.4">
      <c r="C4867" s="31"/>
      <c r="E4867" s="30"/>
    </row>
    <row r="4868" spans="3:5" x14ac:dyDescent="0.4">
      <c r="C4868" s="31"/>
      <c r="E4868" s="30"/>
    </row>
    <row r="4869" spans="3:5" x14ac:dyDescent="0.4">
      <c r="C4869" s="31"/>
      <c r="E4869" s="30"/>
    </row>
    <row r="4870" spans="3:5" x14ac:dyDescent="0.4">
      <c r="C4870" s="31"/>
      <c r="E4870" s="30"/>
    </row>
    <row r="4871" spans="3:5" x14ac:dyDescent="0.4">
      <c r="C4871" s="31"/>
      <c r="E4871" s="30"/>
    </row>
    <row r="4872" spans="3:5" x14ac:dyDescent="0.4">
      <c r="C4872" s="31"/>
      <c r="E4872" s="30"/>
    </row>
    <row r="4873" spans="3:5" x14ac:dyDescent="0.4">
      <c r="C4873" s="31"/>
      <c r="E4873" s="30"/>
    </row>
    <row r="4874" spans="3:5" x14ac:dyDescent="0.4">
      <c r="C4874" s="31"/>
      <c r="E4874" s="30"/>
    </row>
    <row r="4875" spans="3:5" x14ac:dyDescent="0.4">
      <c r="C4875" s="31"/>
      <c r="E4875" s="30"/>
    </row>
    <row r="4876" spans="3:5" x14ac:dyDescent="0.4">
      <c r="C4876" s="31"/>
      <c r="E4876" s="30"/>
    </row>
    <row r="4877" spans="3:5" x14ac:dyDescent="0.4">
      <c r="C4877" s="31"/>
      <c r="E4877" s="30"/>
    </row>
    <row r="4878" spans="3:5" x14ac:dyDescent="0.4">
      <c r="C4878" s="31"/>
      <c r="E4878" s="30"/>
    </row>
    <row r="4879" spans="3:5" x14ac:dyDescent="0.4">
      <c r="C4879" s="31"/>
      <c r="E4879" s="30"/>
    </row>
    <row r="4880" spans="3:5" x14ac:dyDescent="0.4">
      <c r="C4880" s="31"/>
      <c r="E4880" s="30"/>
    </row>
    <row r="4881" spans="3:5" x14ac:dyDescent="0.4">
      <c r="C4881" s="31"/>
      <c r="E4881" s="30"/>
    </row>
    <row r="4882" spans="3:5" x14ac:dyDescent="0.4">
      <c r="C4882" s="31"/>
      <c r="E4882" s="30"/>
    </row>
    <row r="4883" spans="3:5" x14ac:dyDescent="0.4">
      <c r="C4883" s="31"/>
      <c r="E4883" s="30"/>
    </row>
    <row r="4884" spans="3:5" x14ac:dyDescent="0.4">
      <c r="C4884" s="31"/>
      <c r="E4884" s="30"/>
    </row>
    <row r="4885" spans="3:5" x14ac:dyDescent="0.4">
      <c r="C4885" s="31"/>
      <c r="E4885" s="30"/>
    </row>
    <row r="4886" spans="3:5" x14ac:dyDescent="0.4">
      <c r="C4886" s="31"/>
      <c r="E4886" s="30"/>
    </row>
    <row r="4887" spans="3:5" x14ac:dyDescent="0.4">
      <c r="C4887" s="31"/>
      <c r="E4887" s="30"/>
    </row>
    <row r="4888" spans="3:5" x14ac:dyDescent="0.4">
      <c r="C4888" s="31"/>
      <c r="E4888" s="30"/>
    </row>
    <row r="4889" spans="3:5" x14ac:dyDescent="0.4">
      <c r="C4889" s="31"/>
      <c r="E4889" s="30"/>
    </row>
    <row r="4890" spans="3:5" x14ac:dyDescent="0.4">
      <c r="C4890" s="31"/>
      <c r="E4890" s="30"/>
    </row>
    <row r="4891" spans="3:5" x14ac:dyDescent="0.4">
      <c r="C4891" s="31"/>
      <c r="E4891" s="30"/>
    </row>
    <row r="4892" spans="3:5" x14ac:dyDescent="0.4">
      <c r="C4892" s="31"/>
      <c r="E4892" s="30"/>
    </row>
    <row r="4893" spans="3:5" x14ac:dyDescent="0.4">
      <c r="C4893" s="31"/>
      <c r="E4893" s="30"/>
    </row>
    <row r="4894" spans="3:5" x14ac:dyDescent="0.4">
      <c r="C4894" s="31"/>
      <c r="E4894" s="30"/>
    </row>
    <row r="4895" spans="3:5" x14ac:dyDescent="0.4">
      <c r="C4895" s="31"/>
      <c r="E4895" s="30"/>
    </row>
    <row r="4896" spans="3:5" x14ac:dyDescent="0.4">
      <c r="C4896" s="31"/>
      <c r="E4896" s="30"/>
    </row>
    <row r="4897" spans="3:5" x14ac:dyDescent="0.4">
      <c r="C4897" s="31"/>
      <c r="E4897" s="30"/>
    </row>
    <row r="4898" spans="3:5" x14ac:dyDescent="0.4">
      <c r="C4898" s="31"/>
      <c r="E4898" s="30"/>
    </row>
    <row r="4899" spans="3:5" x14ac:dyDescent="0.4">
      <c r="C4899" s="31"/>
      <c r="E4899" s="30"/>
    </row>
    <row r="4900" spans="3:5" x14ac:dyDescent="0.4">
      <c r="C4900" s="31"/>
      <c r="E4900" s="30"/>
    </row>
    <row r="4901" spans="3:5" x14ac:dyDescent="0.4">
      <c r="C4901" s="31"/>
      <c r="E4901" s="30"/>
    </row>
    <row r="4902" spans="3:5" x14ac:dyDescent="0.4">
      <c r="C4902" s="31"/>
      <c r="E4902" s="30"/>
    </row>
    <row r="4903" spans="3:5" x14ac:dyDescent="0.4">
      <c r="C4903" s="31"/>
      <c r="E4903" s="30"/>
    </row>
    <row r="4904" spans="3:5" x14ac:dyDescent="0.4">
      <c r="C4904" s="31"/>
      <c r="E4904" s="30"/>
    </row>
    <row r="4905" spans="3:5" x14ac:dyDescent="0.4">
      <c r="C4905" s="31"/>
      <c r="E4905" s="30"/>
    </row>
    <row r="4906" spans="3:5" x14ac:dyDescent="0.4">
      <c r="C4906" s="31"/>
      <c r="E4906" s="30"/>
    </row>
    <row r="4907" spans="3:5" x14ac:dyDescent="0.4">
      <c r="C4907" s="31"/>
      <c r="E4907" s="30"/>
    </row>
    <row r="4908" spans="3:5" x14ac:dyDescent="0.4">
      <c r="C4908" s="31"/>
      <c r="E4908" s="30"/>
    </row>
    <row r="4909" spans="3:5" x14ac:dyDescent="0.4">
      <c r="C4909" s="31"/>
      <c r="E4909" s="30"/>
    </row>
    <row r="4910" spans="3:5" x14ac:dyDescent="0.4">
      <c r="C4910" s="31"/>
      <c r="E4910" s="30"/>
    </row>
    <row r="4911" spans="3:5" x14ac:dyDescent="0.4">
      <c r="C4911" s="31"/>
      <c r="E4911" s="30"/>
    </row>
    <row r="4912" spans="3:5" x14ac:dyDescent="0.4">
      <c r="C4912" s="31"/>
      <c r="E4912" s="30"/>
    </row>
    <row r="4913" spans="3:5" x14ac:dyDescent="0.4">
      <c r="C4913" s="31"/>
      <c r="E4913" s="30"/>
    </row>
    <row r="4914" spans="3:5" x14ac:dyDescent="0.4">
      <c r="C4914" s="31"/>
      <c r="E4914" s="30"/>
    </row>
    <row r="4915" spans="3:5" x14ac:dyDescent="0.4">
      <c r="C4915" s="31"/>
      <c r="E4915" s="30"/>
    </row>
    <row r="4916" spans="3:5" x14ac:dyDescent="0.4">
      <c r="C4916" s="31"/>
      <c r="E4916" s="30"/>
    </row>
    <row r="4917" spans="3:5" x14ac:dyDescent="0.4">
      <c r="C4917" s="31"/>
      <c r="E4917" s="30"/>
    </row>
    <row r="4918" spans="3:5" x14ac:dyDescent="0.4">
      <c r="C4918" s="31"/>
      <c r="E4918" s="30"/>
    </row>
    <row r="4919" spans="3:5" x14ac:dyDescent="0.4">
      <c r="C4919" s="31"/>
      <c r="E4919" s="30"/>
    </row>
    <row r="4920" spans="3:5" x14ac:dyDescent="0.4">
      <c r="C4920" s="31"/>
      <c r="E4920" s="30"/>
    </row>
    <row r="4921" spans="3:5" x14ac:dyDescent="0.4">
      <c r="C4921" s="31"/>
      <c r="E4921" s="30"/>
    </row>
    <row r="4922" spans="3:5" x14ac:dyDescent="0.4">
      <c r="C4922" s="31"/>
      <c r="E4922" s="30"/>
    </row>
    <row r="4923" spans="3:5" x14ac:dyDescent="0.4">
      <c r="C4923" s="31"/>
      <c r="E4923" s="30"/>
    </row>
    <row r="4924" spans="3:5" x14ac:dyDescent="0.4">
      <c r="C4924" s="31"/>
      <c r="E4924" s="30"/>
    </row>
    <row r="4925" spans="3:5" x14ac:dyDescent="0.4">
      <c r="C4925" s="31"/>
      <c r="E4925" s="30"/>
    </row>
    <row r="4926" spans="3:5" x14ac:dyDescent="0.4">
      <c r="C4926" s="31"/>
      <c r="E4926" s="30"/>
    </row>
    <row r="4927" spans="3:5" x14ac:dyDescent="0.4">
      <c r="C4927" s="31"/>
      <c r="E4927" s="30"/>
    </row>
    <row r="4928" spans="3:5" x14ac:dyDescent="0.4">
      <c r="C4928" s="31"/>
      <c r="E4928" s="30"/>
    </row>
    <row r="4929" spans="3:5" x14ac:dyDescent="0.4">
      <c r="C4929" s="31"/>
      <c r="E4929" s="30"/>
    </row>
    <row r="4930" spans="3:5" x14ac:dyDescent="0.4">
      <c r="C4930" s="31"/>
      <c r="E4930" s="30"/>
    </row>
    <row r="4931" spans="3:5" x14ac:dyDescent="0.4">
      <c r="C4931" s="31"/>
      <c r="E4931" s="30"/>
    </row>
    <row r="4932" spans="3:5" x14ac:dyDescent="0.4">
      <c r="C4932" s="31"/>
      <c r="E4932" s="30"/>
    </row>
    <row r="4933" spans="3:5" x14ac:dyDescent="0.4">
      <c r="C4933" s="31"/>
      <c r="E4933" s="30"/>
    </row>
    <row r="4934" spans="3:5" x14ac:dyDescent="0.4">
      <c r="C4934" s="31"/>
      <c r="E4934" s="30"/>
    </row>
    <row r="4935" spans="3:5" x14ac:dyDescent="0.4">
      <c r="C4935" s="31"/>
      <c r="E4935" s="30"/>
    </row>
    <row r="4936" spans="3:5" x14ac:dyDescent="0.4">
      <c r="C4936" s="31"/>
      <c r="E4936" s="30"/>
    </row>
    <row r="4937" spans="3:5" x14ac:dyDescent="0.4">
      <c r="C4937" s="31"/>
      <c r="E4937" s="30"/>
    </row>
    <row r="4938" spans="3:5" x14ac:dyDescent="0.4">
      <c r="C4938" s="31"/>
      <c r="E4938" s="30"/>
    </row>
    <row r="4939" spans="3:5" x14ac:dyDescent="0.4">
      <c r="C4939" s="31"/>
      <c r="E4939" s="30"/>
    </row>
    <row r="4940" spans="3:5" x14ac:dyDescent="0.4">
      <c r="C4940" s="31"/>
      <c r="E4940" s="30"/>
    </row>
    <row r="4941" spans="3:5" x14ac:dyDescent="0.4">
      <c r="C4941" s="31"/>
      <c r="E4941" s="30"/>
    </row>
    <row r="4942" spans="3:5" x14ac:dyDescent="0.4">
      <c r="C4942" s="31"/>
      <c r="E4942" s="30"/>
    </row>
    <row r="4943" spans="3:5" x14ac:dyDescent="0.4">
      <c r="C4943" s="31"/>
      <c r="E4943" s="30"/>
    </row>
    <row r="4944" spans="3:5" x14ac:dyDescent="0.4">
      <c r="C4944" s="31"/>
      <c r="E4944" s="30"/>
    </row>
    <row r="4945" spans="3:5" x14ac:dyDescent="0.4">
      <c r="C4945" s="31"/>
      <c r="E4945" s="30"/>
    </row>
    <row r="4946" spans="3:5" x14ac:dyDescent="0.4">
      <c r="C4946" s="31"/>
      <c r="E4946" s="30"/>
    </row>
    <row r="4947" spans="3:5" x14ac:dyDescent="0.4">
      <c r="C4947" s="31"/>
      <c r="E4947" s="30"/>
    </row>
    <row r="4948" spans="3:5" x14ac:dyDescent="0.4">
      <c r="C4948" s="31"/>
      <c r="E4948" s="30"/>
    </row>
    <row r="4949" spans="3:5" x14ac:dyDescent="0.4">
      <c r="C4949" s="31"/>
      <c r="E4949" s="30"/>
    </row>
    <row r="4950" spans="3:5" x14ac:dyDescent="0.4">
      <c r="C4950" s="31"/>
      <c r="E4950" s="30"/>
    </row>
    <row r="4951" spans="3:5" x14ac:dyDescent="0.4">
      <c r="C4951" s="31"/>
      <c r="E4951" s="30"/>
    </row>
    <row r="4952" spans="3:5" x14ac:dyDescent="0.4">
      <c r="C4952" s="31"/>
      <c r="E4952" s="30"/>
    </row>
    <row r="4953" spans="3:5" x14ac:dyDescent="0.4">
      <c r="C4953" s="31"/>
      <c r="E4953" s="30"/>
    </row>
    <row r="4954" spans="3:5" x14ac:dyDescent="0.4">
      <c r="C4954" s="31"/>
      <c r="E4954" s="30"/>
    </row>
    <row r="4955" spans="3:5" x14ac:dyDescent="0.4">
      <c r="C4955" s="31"/>
      <c r="E4955" s="30"/>
    </row>
    <row r="4956" spans="3:5" x14ac:dyDescent="0.4">
      <c r="C4956" s="31"/>
      <c r="E4956" s="30"/>
    </row>
    <row r="4957" spans="3:5" x14ac:dyDescent="0.4">
      <c r="C4957" s="31"/>
      <c r="E4957" s="30"/>
    </row>
    <row r="4958" spans="3:5" x14ac:dyDescent="0.4">
      <c r="C4958" s="31"/>
      <c r="E4958" s="30"/>
    </row>
    <row r="4959" spans="3:5" x14ac:dyDescent="0.4">
      <c r="C4959" s="31"/>
      <c r="E4959" s="30"/>
    </row>
    <row r="4960" spans="3:5" x14ac:dyDescent="0.4">
      <c r="C4960" s="31"/>
      <c r="E4960" s="30"/>
    </row>
    <row r="4961" spans="3:5" x14ac:dyDescent="0.4">
      <c r="C4961" s="31"/>
      <c r="E4961" s="30"/>
    </row>
    <row r="4962" spans="3:5" x14ac:dyDescent="0.4">
      <c r="C4962" s="31"/>
      <c r="E4962" s="30"/>
    </row>
    <row r="4963" spans="3:5" x14ac:dyDescent="0.4">
      <c r="C4963" s="31"/>
      <c r="E4963" s="30"/>
    </row>
    <row r="4964" spans="3:5" x14ac:dyDescent="0.4">
      <c r="C4964" s="31"/>
      <c r="E4964" s="30"/>
    </row>
    <row r="4965" spans="3:5" x14ac:dyDescent="0.4">
      <c r="C4965" s="31"/>
      <c r="E4965" s="30"/>
    </row>
    <row r="4966" spans="3:5" x14ac:dyDescent="0.4">
      <c r="C4966" s="31"/>
      <c r="E4966" s="30"/>
    </row>
    <row r="4967" spans="3:5" x14ac:dyDescent="0.4">
      <c r="C4967" s="31"/>
      <c r="E4967" s="30"/>
    </row>
    <row r="4968" spans="3:5" x14ac:dyDescent="0.4">
      <c r="C4968" s="31"/>
      <c r="E4968" s="30"/>
    </row>
    <row r="4969" spans="3:5" x14ac:dyDescent="0.4">
      <c r="C4969" s="31"/>
      <c r="E4969" s="30"/>
    </row>
    <row r="4970" spans="3:5" x14ac:dyDescent="0.4">
      <c r="C4970" s="31"/>
      <c r="E4970" s="30"/>
    </row>
    <row r="4971" spans="3:5" x14ac:dyDescent="0.4">
      <c r="C4971" s="31"/>
      <c r="E4971" s="30"/>
    </row>
    <row r="4972" spans="3:5" x14ac:dyDescent="0.4">
      <c r="C4972" s="31"/>
      <c r="E4972" s="30"/>
    </row>
    <row r="4973" spans="3:5" x14ac:dyDescent="0.4">
      <c r="C4973" s="31"/>
      <c r="E4973" s="30"/>
    </row>
    <row r="4974" spans="3:5" x14ac:dyDescent="0.4">
      <c r="C4974" s="31"/>
      <c r="E4974" s="30"/>
    </row>
    <row r="4975" spans="3:5" x14ac:dyDescent="0.4">
      <c r="C4975" s="31"/>
      <c r="E4975" s="30"/>
    </row>
    <row r="4976" spans="3:5" x14ac:dyDescent="0.4">
      <c r="C4976" s="31"/>
      <c r="E4976" s="30"/>
    </row>
    <row r="4977" spans="3:5" x14ac:dyDescent="0.4">
      <c r="C4977" s="31"/>
      <c r="E4977" s="30"/>
    </row>
    <row r="4978" spans="3:5" x14ac:dyDescent="0.4">
      <c r="C4978" s="31"/>
      <c r="E4978" s="30"/>
    </row>
    <row r="4979" spans="3:5" x14ac:dyDescent="0.4">
      <c r="C4979" s="31"/>
      <c r="E4979" s="30"/>
    </row>
    <row r="4980" spans="3:5" x14ac:dyDescent="0.4">
      <c r="C4980" s="31"/>
      <c r="E4980" s="30"/>
    </row>
    <row r="4981" spans="3:5" x14ac:dyDescent="0.4">
      <c r="C4981" s="31"/>
      <c r="E4981" s="30"/>
    </row>
    <row r="4982" spans="3:5" x14ac:dyDescent="0.4">
      <c r="C4982" s="31"/>
      <c r="E4982" s="30"/>
    </row>
    <row r="4983" spans="3:5" x14ac:dyDescent="0.4">
      <c r="C4983" s="31"/>
      <c r="E4983" s="30"/>
    </row>
    <row r="4984" spans="3:5" x14ac:dyDescent="0.4">
      <c r="C4984" s="31"/>
      <c r="E4984" s="30"/>
    </row>
    <row r="4985" spans="3:5" x14ac:dyDescent="0.4">
      <c r="C4985" s="31"/>
      <c r="E4985" s="30"/>
    </row>
    <row r="4986" spans="3:5" x14ac:dyDescent="0.4">
      <c r="C4986" s="31"/>
      <c r="E4986" s="30"/>
    </row>
    <row r="4987" spans="3:5" x14ac:dyDescent="0.4">
      <c r="C4987" s="31"/>
      <c r="E4987" s="30"/>
    </row>
    <row r="4988" spans="3:5" x14ac:dyDescent="0.4">
      <c r="C4988" s="31"/>
      <c r="E4988" s="30"/>
    </row>
    <row r="4989" spans="3:5" x14ac:dyDescent="0.4">
      <c r="C4989" s="31"/>
      <c r="E4989" s="30"/>
    </row>
    <row r="4990" spans="3:5" x14ac:dyDescent="0.4">
      <c r="C4990" s="31"/>
      <c r="E4990" s="30"/>
    </row>
    <row r="4991" spans="3:5" x14ac:dyDescent="0.4">
      <c r="C4991" s="31"/>
      <c r="E4991" s="30"/>
    </row>
    <row r="4992" spans="3:5" x14ac:dyDescent="0.4">
      <c r="C4992" s="31"/>
      <c r="E4992" s="30"/>
    </row>
    <row r="4993" spans="3:5" x14ac:dyDescent="0.4">
      <c r="C4993" s="31"/>
      <c r="E4993" s="30"/>
    </row>
    <row r="4994" spans="3:5" x14ac:dyDescent="0.4">
      <c r="C4994" s="31"/>
      <c r="E4994" s="30"/>
    </row>
    <row r="4995" spans="3:5" x14ac:dyDescent="0.4">
      <c r="C4995" s="31"/>
      <c r="E4995" s="30"/>
    </row>
    <row r="4996" spans="3:5" x14ac:dyDescent="0.4">
      <c r="C4996" s="31"/>
      <c r="E4996" s="30"/>
    </row>
    <row r="4997" spans="3:5" x14ac:dyDescent="0.4">
      <c r="C4997" s="31"/>
      <c r="E4997" s="30"/>
    </row>
    <row r="4998" spans="3:5" x14ac:dyDescent="0.4">
      <c r="C4998" s="31"/>
      <c r="E4998" s="30"/>
    </row>
    <row r="4999" spans="3:5" x14ac:dyDescent="0.4">
      <c r="C4999" s="31"/>
      <c r="E4999" s="30"/>
    </row>
    <row r="5000" spans="3:5" x14ac:dyDescent="0.4">
      <c r="C5000" s="31"/>
      <c r="E5000" s="30"/>
    </row>
    <row r="5001" spans="3:5" x14ac:dyDescent="0.4">
      <c r="C5001" s="31"/>
      <c r="E5001" s="30"/>
    </row>
    <row r="5002" spans="3:5" x14ac:dyDescent="0.4">
      <c r="C5002" s="31"/>
      <c r="E5002" s="30"/>
    </row>
    <row r="5003" spans="3:5" x14ac:dyDescent="0.4">
      <c r="C5003" s="31"/>
      <c r="E5003" s="30"/>
    </row>
    <row r="5004" spans="3:5" x14ac:dyDescent="0.4">
      <c r="C5004" s="31"/>
      <c r="E5004" s="30"/>
    </row>
    <row r="5005" spans="3:5" x14ac:dyDescent="0.4">
      <c r="C5005" s="31"/>
      <c r="E5005" s="30"/>
    </row>
    <row r="5006" spans="3:5" x14ac:dyDescent="0.4">
      <c r="C5006" s="31"/>
      <c r="E5006" s="30"/>
    </row>
    <row r="5007" spans="3:5" x14ac:dyDescent="0.4">
      <c r="C5007" s="31"/>
      <c r="E5007" s="30"/>
    </row>
    <row r="5008" spans="3:5" x14ac:dyDescent="0.4">
      <c r="C5008" s="31"/>
      <c r="E5008" s="30"/>
    </row>
    <row r="5009" spans="3:5" x14ac:dyDescent="0.4">
      <c r="C5009" s="31"/>
      <c r="E5009" s="30"/>
    </row>
    <row r="5010" spans="3:5" x14ac:dyDescent="0.4">
      <c r="C5010" s="31"/>
      <c r="E5010" s="30"/>
    </row>
    <row r="5011" spans="3:5" x14ac:dyDescent="0.4">
      <c r="C5011" s="31"/>
      <c r="E5011" s="30"/>
    </row>
    <row r="5012" spans="3:5" x14ac:dyDescent="0.4">
      <c r="C5012" s="31"/>
      <c r="E5012" s="30"/>
    </row>
    <row r="5013" spans="3:5" x14ac:dyDescent="0.4">
      <c r="C5013" s="31"/>
      <c r="E5013" s="30"/>
    </row>
    <row r="5014" spans="3:5" x14ac:dyDescent="0.4">
      <c r="C5014" s="31"/>
      <c r="E5014" s="30"/>
    </row>
    <row r="5015" spans="3:5" x14ac:dyDescent="0.4">
      <c r="C5015" s="31"/>
      <c r="E5015" s="30"/>
    </row>
    <row r="5016" spans="3:5" x14ac:dyDescent="0.4">
      <c r="C5016" s="31"/>
      <c r="E5016" s="30"/>
    </row>
    <row r="5017" spans="3:5" x14ac:dyDescent="0.4">
      <c r="C5017" s="31"/>
      <c r="E5017" s="30"/>
    </row>
    <row r="5018" spans="3:5" x14ac:dyDescent="0.4">
      <c r="C5018" s="31"/>
      <c r="E5018" s="30"/>
    </row>
    <row r="5019" spans="3:5" x14ac:dyDescent="0.4">
      <c r="C5019" s="31"/>
      <c r="E5019" s="30"/>
    </row>
    <row r="5020" spans="3:5" x14ac:dyDescent="0.4">
      <c r="C5020" s="31"/>
      <c r="E5020" s="30"/>
    </row>
    <row r="5021" spans="3:5" x14ac:dyDescent="0.4">
      <c r="C5021" s="31"/>
      <c r="E5021" s="30"/>
    </row>
    <row r="5022" spans="3:5" x14ac:dyDescent="0.4">
      <c r="C5022" s="31"/>
      <c r="E5022" s="30"/>
    </row>
    <row r="5023" spans="3:5" x14ac:dyDescent="0.4">
      <c r="C5023" s="31"/>
      <c r="E5023" s="30"/>
    </row>
    <row r="5024" spans="3:5" x14ac:dyDescent="0.4">
      <c r="C5024" s="31"/>
      <c r="E5024" s="30"/>
    </row>
    <row r="5025" spans="3:5" x14ac:dyDescent="0.4">
      <c r="C5025" s="31"/>
      <c r="E5025" s="30"/>
    </row>
    <row r="5026" spans="3:5" x14ac:dyDescent="0.4">
      <c r="C5026" s="31"/>
      <c r="E5026" s="30"/>
    </row>
    <row r="5027" spans="3:5" x14ac:dyDescent="0.4">
      <c r="C5027" s="31"/>
      <c r="E5027" s="30"/>
    </row>
    <row r="5028" spans="3:5" x14ac:dyDescent="0.4">
      <c r="C5028" s="31"/>
      <c r="E5028" s="30"/>
    </row>
    <row r="5029" spans="3:5" x14ac:dyDescent="0.4">
      <c r="C5029" s="31"/>
      <c r="E5029" s="30"/>
    </row>
    <row r="5030" spans="3:5" x14ac:dyDescent="0.4">
      <c r="C5030" s="31"/>
      <c r="E5030" s="30"/>
    </row>
    <row r="5031" spans="3:5" x14ac:dyDescent="0.4">
      <c r="C5031" s="31"/>
      <c r="E5031" s="30"/>
    </row>
    <row r="5032" spans="3:5" x14ac:dyDescent="0.4">
      <c r="C5032" s="31"/>
      <c r="E5032" s="30"/>
    </row>
    <row r="5033" spans="3:5" x14ac:dyDescent="0.4">
      <c r="C5033" s="31"/>
      <c r="E5033" s="30"/>
    </row>
    <row r="5034" spans="3:5" x14ac:dyDescent="0.4">
      <c r="C5034" s="31"/>
      <c r="E5034" s="30"/>
    </row>
    <row r="5035" spans="3:5" x14ac:dyDescent="0.4">
      <c r="C5035" s="31"/>
      <c r="E5035" s="30"/>
    </row>
    <row r="5036" spans="3:5" x14ac:dyDescent="0.4">
      <c r="C5036" s="31"/>
      <c r="E5036" s="30"/>
    </row>
    <row r="5037" spans="3:5" x14ac:dyDescent="0.4">
      <c r="C5037" s="31"/>
      <c r="E5037" s="30"/>
    </row>
    <row r="5038" spans="3:5" x14ac:dyDescent="0.4">
      <c r="C5038" s="31"/>
      <c r="E5038" s="30"/>
    </row>
    <row r="5039" spans="3:5" x14ac:dyDescent="0.4">
      <c r="C5039" s="31"/>
      <c r="E5039" s="30"/>
    </row>
    <row r="5040" spans="3:5" x14ac:dyDescent="0.4">
      <c r="C5040" s="31"/>
      <c r="E5040" s="30"/>
    </row>
    <row r="5041" spans="3:5" x14ac:dyDescent="0.4">
      <c r="C5041" s="31"/>
      <c r="E5041" s="30"/>
    </row>
    <row r="5042" spans="3:5" x14ac:dyDescent="0.4">
      <c r="C5042" s="31"/>
      <c r="E5042" s="30"/>
    </row>
    <row r="5043" spans="3:5" x14ac:dyDescent="0.4">
      <c r="C5043" s="31"/>
      <c r="E5043" s="30"/>
    </row>
    <row r="5044" spans="3:5" x14ac:dyDescent="0.4">
      <c r="C5044" s="31"/>
      <c r="E5044" s="30"/>
    </row>
    <row r="5045" spans="3:5" x14ac:dyDescent="0.4">
      <c r="C5045" s="31"/>
      <c r="E5045" s="30"/>
    </row>
    <row r="5046" spans="3:5" x14ac:dyDescent="0.4">
      <c r="C5046" s="31"/>
      <c r="E5046" s="30"/>
    </row>
    <row r="5047" spans="3:5" x14ac:dyDescent="0.4">
      <c r="C5047" s="31"/>
      <c r="E5047" s="30"/>
    </row>
    <row r="5048" spans="3:5" x14ac:dyDescent="0.4">
      <c r="C5048" s="31"/>
      <c r="E5048" s="30"/>
    </row>
    <row r="5049" spans="3:5" x14ac:dyDescent="0.4">
      <c r="C5049" s="31"/>
      <c r="E5049" s="30"/>
    </row>
    <row r="5050" spans="3:5" x14ac:dyDescent="0.4">
      <c r="C5050" s="31"/>
      <c r="E5050" s="30"/>
    </row>
    <row r="5051" spans="3:5" x14ac:dyDescent="0.4">
      <c r="C5051" s="31"/>
      <c r="E5051" s="30"/>
    </row>
    <row r="5052" spans="3:5" x14ac:dyDescent="0.4">
      <c r="C5052" s="31"/>
      <c r="E5052" s="30"/>
    </row>
    <row r="5053" spans="3:5" x14ac:dyDescent="0.4">
      <c r="C5053" s="31"/>
      <c r="E5053" s="30"/>
    </row>
    <row r="5054" spans="3:5" x14ac:dyDescent="0.4">
      <c r="C5054" s="31"/>
      <c r="E5054" s="30"/>
    </row>
    <row r="5055" spans="3:5" x14ac:dyDescent="0.4">
      <c r="C5055" s="31"/>
      <c r="E5055" s="30"/>
    </row>
    <row r="5056" spans="3:5" x14ac:dyDescent="0.4">
      <c r="C5056" s="31"/>
      <c r="E5056" s="30"/>
    </row>
    <row r="5057" spans="3:5" x14ac:dyDescent="0.4">
      <c r="C5057" s="31"/>
      <c r="E5057" s="30"/>
    </row>
    <row r="5058" spans="3:5" x14ac:dyDescent="0.4">
      <c r="C5058" s="31"/>
      <c r="E5058" s="30"/>
    </row>
    <row r="5059" spans="3:5" x14ac:dyDescent="0.4">
      <c r="C5059" s="31"/>
      <c r="E5059" s="30"/>
    </row>
    <row r="5060" spans="3:5" x14ac:dyDescent="0.4">
      <c r="C5060" s="31"/>
      <c r="E5060" s="30"/>
    </row>
    <row r="5061" spans="3:5" x14ac:dyDescent="0.4">
      <c r="C5061" s="31"/>
      <c r="E5061" s="30"/>
    </row>
    <row r="5062" spans="3:5" x14ac:dyDescent="0.4">
      <c r="C5062" s="31"/>
      <c r="E5062" s="30"/>
    </row>
    <row r="5063" spans="3:5" x14ac:dyDescent="0.4">
      <c r="C5063" s="31"/>
      <c r="E5063" s="30"/>
    </row>
    <row r="5064" spans="3:5" x14ac:dyDescent="0.4">
      <c r="C5064" s="31"/>
      <c r="E5064" s="30"/>
    </row>
    <row r="5065" spans="3:5" x14ac:dyDescent="0.4">
      <c r="C5065" s="31"/>
      <c r="E5065" s="30"/>
    </row>
    <row r="5066" spans="3:5" x14ac:dyDescent="0.4">
      <c r="C5066" s="31"/>
      <c r="E5066" s="30"/>
    </row>
    <row r="5067" spans="3:5" x14ac:dyDescent="0.4">
      <c r="C5067" s="31"/>
      <c r="E5067" s="30"/>
    </row>
    <row r="5068" spans="3:5" x14ac:dyDescent="0.4">
      <c r="C5068" s="31"/>
      <c r="E5068" s="30"/>
    </row>
    <row r="5069" spans="3:5" x14ac:dyDescent="0.4">
      <c r="C5069" s="31"/>
      <c r="E5069" s="30"/>
    </row>
    <row r="5070" spans="3:5" x14ac:dyDescent="0.4">
      <c r="C5070" s="31"/>
      <c r="E5070" s="30"/>
    </row>
    <row r="5071" spans="3:5" x14ac:dyDescent="0.4">
      <c r="C5071" s="31"/>
      <c r="E5071" s="30"/>
    </row>
    <row r="5072" spans="3:5" x14ac:dyDescent="0.4">
      <c r="C5072" s="31"/>
      <c r="E5072" s="30"/>
    </row>
    <row r="5073" spans="3:5" x14ac:dyDescent="0.4">
      <c r="C5073" s="31"/>
      <c r="E5073" s="30"/>
    </row>
    <row r="5074" spans="3:5" x14ac:dyDescent="0.4">
      <c r="C5074" s="31"/>
      <c r="E5074" s="30"/>
    </row>
    <row r="5075" spans="3:5" x14ac:dyDescent="0.4">
      <c r="C5075" s="31"/>
      <c r="E5075" s="30"/>
    </row>
    <row r="5076" spans="3:5" x14ac:dyDescent="0.4">
      <c r="C5076" s="31"/>
      <c r="E5076" s="30"/>
    </row>
    <row r="5077" spans="3:5" x14ac:dyDescent="0.4">
      <c r="C5077" s="31"/>
      <c r="E5077" s="30"/>
    </row>
    <row r="5078" spans="3:5" x14ac:dyDescent="0.4">
      <c r="C5078" s="31"/>
      <c r="E5078" s="30"/>
    </row>
    <row r="5079" spans="3:5" x14ac:dyDescent="0.4">
      <c r="C5079" s="31"/>
      <c r="E5079" s="30"/>
    </row>
    <row r="5080" spans="3:5" x14ac:dyDescent="0.4">
      <c r="C5080" s="31"/>
      <c r="E5080" s="30"/>
    </row>
    <row r="5081" spans="3:5" x14ac:dyDescent="0.4">
      <c r="C5081" s="31"/>
      <c r="E5081" s="30"/>
    </row>
    <row r="5082" spans="3:5" x14ac:dyDescent="0.4">
      <c r="C5082" s="31"/>
      <c r="E5082" s="30"/>
    </row>
    <row r="5083" spans="3:5" x14ac:dyDescent="0.4">
      <c r="C5083" s="31"/>
      <c r="E5083" s="30"/>
    </row>
    <row r="5084" spans="3:5" x14ac:dyDescent="0.4">
      <c r="C5084" s="31"/>
      <c r="E5084" s="30"/>
    </row>
    <row r="5085" spans="3:5" x14ac:dyDescent="0.4">
      <c r="C5085" s="31"/>
      <c r="E5085" s="30"/>
    </row>
    <row r="5086" spans="3:5" x14ac:dyDescent="0.4">
      <c r="C5086" s="31"/>
      <c r="E5086" s="30"/>
    </row>
    <row r="5087" spans="3:5" x14ac:dyDescent="0.4">
      <c r="C5087" s="31"/>
      <c r="E5087" s="30"/>
    </row>
    <row r="5088" spans="3:5" x14ac:dyDescent="0.4">
      <c r="C5088" s="31"/>
      <c r="E5088" s="30"/>
    </row>
    <row r="5089" spans="3:5" x14ac:dyDescent="0.4">
      <c r="C5089" s="31"/>
      <c r="E5089" s="30"/>
    </row>
    <row r="5090" spans="3:5" x14ac:dyDescent="0.4">
      <c r="C5090" s="31"/>
      <c r="E5090" s="30"/>
    </row>
    <row r="5091" spans="3:5" x14ac:dyDescent="0.4">
      <c r="C5091" s="31"/>
      <c r="E5091" s="30"/>
    </row>
    <row r="5092" spans="3:5" x14ac:dyDescent="0.4">
      <c r="C5092" s="31"/>
      <c r="E5092" s="30"/>
    </row>
    <row r="5093" spans="3:5" x14ac:dyDescent="0.4">
      <c r="C5093" s="31"/>
      <c r="E5093" s="30"/>
    </row>
    <row r="5094" spans="3:5" x14ac:dyDescent="0.4">
      <c r="C5094" s="31"/>
      <c r="E5094" s="30"/>
    </row>
    <row r="5095" spans="3:5" x14ac:dyDescent="0.4">
      <c r="C5095" s="31"/>
      <c r="E5095" s="30"/>
    </row>
    <row r="5096" spans="3:5" x14ac:dyDescent="0.4">
      <c r="C5096" s="31"/>
      <c r="E5096" s="30"/>
    </row>
    <row r="5097" spans="3:5" x14ac:dyDescent="0.4">
      <c r="C5097" s="31"/>
      <c r="E5097" s="30"/>
    </row>
    <row r="5098" spans="3:5" x14ac:dyDescent="0.4">
      <c r="C5098" s="31"/>
      <c r="E5098" s="30"/>
    </row>
    <row r="5099" spans="3:5" x14ac:dyDescent="0.4">
      <c r="C5099" s="31"/>
      <c r="E5099" s="30"/>
    </row>
    <row r="5100" spans="3:5" x14ac:dyDescent="0.4">
      <c r="C5100" s="31"/>
      <c r="E5100" s="30"/>
    </row>
    <row r="5101" spans="3:5" x14ac:dyDescent="0.4">
      <c r="C5101" s="31"/>
      <c r="E5101" s="30"/>
    </row>
    <row r="5102" spans="3:5" x14ac:dyDescent="0.4">
      <c r="C5102" s="31"/>
      <c r="E5102" s="30"/>
    </row>
    <row r="5103" spans="3:5" x14ac:dyDescent="0.4">
      <c r="C5103" s="31"/>
      <c r="E5103" s="30"/>
    </row>
    <row r="5104" spans="3:5" x14ac:dyDescent="0.4">
      <c r="C5104" s="31"/>
      <c r="E5104" s="30"/>
    </row>
    <row r="5105" spans="3:5" x14ac:dyDescent="0.4">
      <c r="C5105" s="31"/>
      <c r="E5105" s="30"/>
    </row>
    <row r="5106" spans="3:5" x14ac:dyDescent="0.4">
      <c r="C5106" s="31"/>
      <c r="E5106" s="30"/>
    </row>
    <row r="5107" spans="3:5" x14ac:dyDescent="0.4">
      <c r="C5107" s="31"/>
      <c r="E5107" s="30"/>
    </row>
    <row r="5108" spans="3:5" x14ac:dyDescent="0.4">
      <c r="C5108" s="31"/>
      <c r="E5108" s="30"/>
    </row>
    <row r="5109" spans="3:5" x14ac:dyDescent="0.4">
      <c r="C5109" s="31"/>
      <c r="E5109" s="30"/>
    </row>
    <row r="5110" spans="3:5" x14ac:dyDescent="0.4">
      <c r="C5110" s="31"/>
      <c r="E5110" s="30"/>
    </row>
    <row r="5111" spans="3:5" x14ac:dyDescent="0.4">
      <c r="C5111" s="31"/>
      <c r="E5111" s="30"/>
    </row>
    <row r="5112" spans="3:5" x14ac:dyDescent="0.4">
      <c r="C5112" s="31"/>
      <c r="E5112" s="30"/>
    </row>
    <row r="5113" spans="3:5" x14ac:dyDescent="0.4">
      <c r="C5113" s="31"/>
      <c r="E5113" s="30"/>
    </row>
    <row r="5114" spans="3:5" x14ac:dyDescent="0.4">
      <c r="C5114" s="31"/>
      <c r="E5114" s="30"/>
    </row>
    <row r="5115" spans="3:5" x14ac:dyDescent="0.4">
      <c r="C5115" s="31"/>
      <c r="E5115" s="30"/>
    </row>
    <row r="5116" spans="3:5" x14ac:dyDescent="0.4">
      <c r="C5116" s="31"/>
      <c r="E5116" s="30"/>
    </row>
    <row r="5117" spans="3:5" x14ac:dyDescent="0.4">
      <c r="C5117" s="31"/>
      <c r="E5117" s="30"/>
    </row>
    <row r="5118" spans="3:5" x14ac:dyDescent="0.4">
      <c r="C5118" s="31"/>
      <c r="E5118" s="30"/>
    </row>
    <row r="5119" spans="3:5" x14ac:dyDescent="0.4">
      <c r="C5119" s="31"/>
      <c r="E5119" s="30"/>
    </row>
    <row r="5120" spans="3:5" x14ac:dyDescent="0.4">
      <c r="C5120" s="31"/>
      <c r="E5120" s="30"/>
    </row>
    <row r="5121" spans="3:5" x14ac:dyDescent="0.4">
      <c r="C5121" s="31"/>
      <c r="E5121" s="30"/>
    </row>
    <row r="5122" spans="3:5" x14ac:dyDescent="0.4">
      <c r="C5122" s="31"/>
      <c r="E5122" s="30"/>
    </row>
    <row r="5123" spans="3:5" x14ac:dyDescent="0.4">
      <c r="C5123" s="31"/>
      <c r="E5123" s="30"/>
    </row>
    <row r="5124" spans="3:5" x14ac:dyDescent="0.4">
      <c r="C5124" s="31"/>
      <c r="E5124" s="30"/>
    </row>
    <row r="5125" spans="3:5" x14ac:dyDescent="0.4">
      <c r="C5125" s="31"/>
      <c r="E5125" s="30"/>
    </row>
    <row r="5126" spans="3:5" x14ac:dyDescent="0.4">
      <c r="C5126" s="31"/>
      <c r="E5126" s="30"/>
    </row>
    <row r="5127" spans="3:5" x14ac:dyDescent="0.4">
      <c r="C5127" s="31"/>
      <c r="E5127" s="30"/>
    </row>
    <row r="5128" spans="3:5" x14ac:dyDescent="0.4">
      <c r="C5128" s="31"/>
      <c r="E5128" s="30"/>
    </row>
    <row r="5129" spans="3:5" x14ac:dyDescent="0.4">
      <c r="C5129" s="31"/>
      <c r="E5129" s="30"/>
    </row>
    <row r="5130" spans="3:5" x14ac:dyDescent="0.4">
      <c r="C5130" s="31"/>
      <c r="E5130" s="30"/>
    </row>
    <row r="5131" spans="3:5" x14ac:dyDescent="0.4">
      <c r="C5131" s="31"/>
      <c r="E5131" s="30"/>
    </row>
    <row r="5132" spans="3:5" x14ac:dyDescent="0.4">
      <c r="C5132" s="31"/>
      <c r="E5132" s="30"/>
    </row>
    <row r="5133" spans="3:5" x14ac:dyDescent="0.4">
      <c r="C5133" s="31"/>
      <c r="E5133" s="30"/>
    </row>
    <row r="5134" spans="3:5" x14ac:dyDescent="0.4">
      <c r="C5134" s="31"/>
      <c r="E5134" s="30"/>
    </row>
    <row r="5135" spans="3:5" x14ac:dyDescent="0.4">
      <c r="C5135" s="31"/>
      <c r="E5135" s="30"/>
    </row>
    <row r="5136" spans="3:5" x14ac:dyDescent="0.4">
      <c r="C5136" s="31"/>
      <c r="E5136" s="30"/>
    </row>
    <row r="5137" spans="3:5" x14ac:dyDescent="0.4">
      <c r="C5137" s="31"/>
      <c r="E5137" s="30"/>
    </row>
    <row r="5138" spans="3:5" x14ac:dyDescent="0.4">
      <c r="C5138" s="31"/>
      <c r="E5138" s="30"/>
    </row>
    <row r="5139" spans="3:5" x14ac:dyDescent="0.4">
      <c r="C5139" s="31"/>
      <c r="E5139" s="30"/>
    </row>
    <row r="5140" spans="3:5" x14ac:dyDescent="0.4">
      <c r="C5140" s="31"/>
      <c r="E5140" s="30"/>
    </row>
    <row r="5141" spans="3:5" x14ac:dyDescent="0.4">
      <c r="C5141" s="31"/>
      <c r="E5141" s="30"/>
    </row>
    <row r="5142" spans="3:5" x14ac:dyDescent="0.4">
      <c r="C5142" s="31"/>
      <c r="E5142" s="30"/>
    </row>
    <row r="5143" spans="3:5" x14ac:dyDescent="0.4">
      <c r="C5143" s="31"/>
      <c r="E5143" s="30"/>
    </row>
    <row r="5144" spans="3:5" x14ac:dyDescent="0.4">
      <c r="C5144" s="31"/>
      <c r="E5144" s="30"/>
    </row>
    <row r="5145" spans="3:5" x14ac:dyDescent="0.4">
      <c r="C5145" s="31"/>
      <c r="E5145" s="30"/>
    </row>
    <row r="5146" spans="3:5" x14ac:dyDescent="0.4">
      <c r="C5146" s="31"/>
      <c r="E5146" s="30"/>
    </row>
    <row r="5147" spans="3:5" x14ac:dyDescent="0.4">
      <c r="C5147" s="31"/>
      <c r="E5147" s="30"/>
    </row>
    <row r="5148" spans="3:5" x14ac:dyDescent="0.4">
      <c r="C5148" s="31"/>
      <c r="E5148" s="30"/>
    </row>
    <row r="5149" spans="3:5" x14ac:dyDescent="0.4">
      <c r="C5149" s="31"/>
      <c r="E5149" s="30"/>
    </row>
    <row r="5150" spans="3:5" x14ac:dyDescent="0.4">
      <c r="C5150" s="31"/>
      <c r="E5150" s="30"/>
    </row>
    <row r="5151" spans="3:5" x14ac:dyDescent="0.4">
      <c r="C5151" s="31"/>
      <c r="E5151" s="30"/>
    </row>
    <row r="5152" spans="3:5" x14ac:dyDescent="0.4">
      <c r="C5152" s="31"/>
      <c r="E5152" s="30"/>
    </row>
    <row r="5153" spans="3:5" x14ac:dyDescent="0.4">
      <c r="C5153" s="31"/>
      <c r="E5153" s="30"/>
    </row>
    <row r="5154" spans="3:5" x14ac:dyDescent="0.4">
      <c r="C5154" s="31"/>
      <c r="E5154" s="30"/>
    </row>
    <row r="5155" spans="3:5" x14ac:dyDescent="0.4">
      <c r="C5155" s="31"/>
      <c r="E5155" s="30"/>
    </row>
    <row r="5156" spans="3:5" x14ac:dyDescent="0.4">
      <c r="C5156" s="31"/>
      <c r="E5156" s="30"/>
    </row>
    <row r="5157" spans="3:5" x14ac:dyDescent="0.4">
      <c r="C5157" s="31"/>
      <c r="E5157" s="30"/>
    </row>
    <row r="5158" spans="3:5" x14ac:dyDescent="0.4">
      <c r="C5158" s="31"/>
      <c r="E5158" s="30"/>
    </row>
    <row r="5159" spans="3:5" x14ac:dyDescent="0.4">
      <c r="C5159" s="31"/>
      <c r="E5159" s="30"/>
    </row>
    <row r="5160" spans="3:5" x14ac:dyDescent="0.4">
      <c r="C5160" s="31"/>
      <c r="E5160" s="30"/>
    </row>
    <row r="5161" spans="3:5" x14ac:dyDescent="0.4">
      <c r="C5161" s="31"/>
      <c r="E5161" s="30"/>
    </row>
    <row r="5162" spans="3:5" x14ac:dyDescent="0.4">
      <c r="C5162" s="31"/>
      <c r="E5162" s="30"/>
    </row>
    <row r="5163" spans="3:5" x14ac:dyDescent="0.4">
      <c r="C5163" s="31"/>
      <c r="E5163" s="30"/>
    </row>
    <row r="5164" spans="3:5" x14ac:dyDescent="0.4">
      <c r="C5164" s="31"/>
      <c r="E5164" s="30"/>
    </row>
    <row r="5165" spans="3:5" x14ac:dyDescent="0.4">
      <c r="C5165" s="31"/>
      <c r="E5165" s="30"/>
    </row>
    <row r="5166" spans="3:5" x14ac:dyDescent="0.4">
      <c r="C5166" s="31"/>
      <c r="E5166" s="30"/>
    </row>
    <row r="5167" spans="3:5" x14ac:dyDescent="0.4">
      <c r="C5167" s="31"/>
      <c r="E5167" s="30"/>
    </row>
    <row r="5168" spans="3:5" x14ac:dyDescent="0.4">
      <c r="C5168" s="31"/>
      <c r="E5168" s="30"/>
    </row>
    <row r="5169" spans="3:5" x14ac:dyDescent="0.4">
      <c r="C5169" s="31"/>
      <c r="E5169" s="30"/>
    </row>
    <row r="5170" spans="3:5" x14ac:dyDescent="0.4">
      <c r="C5170" s="31"/>
      <c r="E5170" s="30"/>
    </row>
    <row r="5171" spans="3:5" x14ac:dyDescent="0.4">
      <c r="C5171" s="31"/>
      <c r="E5171" s="30"/>
    </row>
    <row r="5172" spans="3:5" x14ac:dyDescent="0.4">
      <c r="C5172" s="31"/>
      <c r="E5172" s="30"/>
    </row>
    <row r="5173" spans="3:5" x14ac:dyDescent="0.4">
      <c r="C5173" s="31"/>
      <c r="E5173" s="30"/>
    </row>
    <row r="5174" spans="3:5" x14ac:dyDescent="0.4">
      <c r="C5174" s="31"/>
      <c r="E5174" s="30"/>
    </row>
    <row r="5175" spans="3:5" x14ac:dyDescent="0.4">
      <c r="C5175" s="31"/>
      <c r="E5175" s="30"/>
    </row>
    <row r="5176" spans="3:5" x14ac:dyDescent="0.4">
      <c r="C5176" s="31"/>
      <c r="E5176" s="30"/>
    </row>
    <row r="5177" spans="3:5" x14ac:dyDescent="0.4">
      <c r="C5177" s="31"/>
      <c r="E5177" s="30"/>
    </row>
    <row r="5178" spans="3:5" x14ac:dyDescent="0.4">
      <c r="C5178" s="31"/>
      <c r="E5178" s="30"/>
    </row>
    <row r="5179" spans="3:5" x14ac:dyDescent="0.4">
      <c r="C5179" s="31"/>
      <c r="E5179" s="30"/>
    </row>
    <row r="5180" spans="3:5" x14ac:dyDescent="0.4">
      <c r="C5180" s="31"/>
      <c r="E5180" s="30"/>
    </row>
    <row r="5181" spans="3:5" x14ac:dyDescent="0.4">
      <c r="C5181" s="31"/>
      <c r="E5181" s="30"/>
    </row>
    <row r="5182" spans="3:5" x14ac:dyDescent="0.4">
      <c r="C5182" s="31"/>
      <c r="E5182" s="30"/>
    </row>
    <row r="5183" spans="3:5" x14ac:dyDescent="0.4">
      <c r="C5183" s="31"/>
      <c r="E5183" s="30"/>
    </row>
    <row r="5184" spans="3:5" x14ac:dyDescent="0.4">
      <c r="C5184" s="31"/>
      <c r="E5184" s="30"/>
    </row>
    <row r="5185" spans="3:5" x14ac:dyDescent="0.4">
      <c r="C5185" s="31"/>
      <c r="E5185" s="30"/>
    </row>
    <row r="5186" spans="3:5" x14ac:dyDescent="0.4">
      <c r="C5186" s="31"/>
      <c r="E5186" s="30"/>
    </row>
    <row r="5187" spans="3:5" x14ac:dyDescent="0.4">
      <c r="C5187" s="31"/>
      <c r="E5187" s="30"/>
    </row>
    <row r="5188" spans="3:5" x14ac:dyDescent="0.4">
      <c r="C5188" s="31"/>
      <c r="E5188" s="30"/>
    </row>
    <row r="5189" spans="3:5" x14ac:dyDescent="0.4">
      <c r="C5189" s="31"/>
      <c r="E5189" s="30"/>
    </row>
    <row r="5190" spans="3:5" x14ac:dyDescent="0.4">
      <c r="C5190" s="31"/>
      <c r="E5190" s="30"/>
    </row>
    <row r="5191" spans="3:5" x14ac:dyDescent="0.4">
      <c r="C5191" s="31"/>
      <c r="E5191" s="30"/>
    </row>
    <row r="5192" spans="3:5" x14ac:dyDescent="0.4">
      <c r="C5192" s="31"/>
      <c r="E5192" s="30"/>
    </row>
    <row r="5193" spans="3:5" x14ac:dyDescent="0.4">
      <c r="C5193" s="31"/>
      <c r="E5193" s="30"/>
    </row>
    <row r="5194" spans="3:5" x14ac:dyDescent="0.4">
      <c r="C5194" s="31"/>
      <c r="E5194" s="30"/>
    </row>
    <row r="5195" spans="3:5" x14ac:dyDescent="0.4">
      <c r="C5195" s="31"/>
      <c r="E5195" s="30"/>
    </row>
    <row r="5196" spans="3:5" x14ac:dyDescent="0.4">
      <c r="C5196" s="31"/>
      <c r="E5196" s="30"/>
    </row>
    <row r="5197" spans="3:5" x14ac:dyDescent="0.4">
      <c r="C5197" s="31"/>
      <c r="E5197" s="30"/>
    </row>
    <row r="5198" spans="3:5" x14ac:dyDescent="0.4">
      <c r="C5198" s="31"/>
      <c r="E5198" s="30"/>
    </row>
    <row r="5199" spans="3:5" x14ac:dyDescent="0.4">
      <c r="C5199" s="31"/>
      <c r="E5199" s="30"/>
    </row>
    <row r="5200" spans="3:5" x14ac:dyDescent="0.4">
      <c r="C5200" s="31"/>
      <c r="E5200" s="30"/>
    </row>
    <row r="5201" spans="3:5" x14ac:dyDescent="0.4">
      <c r="C5201" s="31"/>
      <c r="E5201" s="30"/>
    </row>
    <row r="5202" spans="3:5" x14ac:dyDescent="0.4">
      <c r="C5202" s="31"/>
      <c r="E5202" s="30"/>
    </row>
    <row r="5203" spans="3:5" x14ac:dyDescent="0.4">
      <c r="C5203" s="31"/>
      <c r="E5203" s="30"/>
    </row>
    <row r="5204" spans="3:5" x14ac:dyDescent="0.4">
      <c r="C5204" s="31"/>
      <c r="E5204" s="30"/>
    </row>
    <row r="5205" spans="3:5" x14ac:dyDescent="0.4">
      <c r="C5205" s="31"/>
      <c r="E5205" s="30"/>
    </row>
    <row r="5206" spans="3:5" x14ac:dyDescent="0.4">
      <c r="C5206" s="31"/>
      <c r="E5206" s="30"/>
    </row>
    <row r="5207" spans="3:5" x14ac:dyDescent="0.4">
      <c r="C5207" s="31"/>
      <c r="E5207" s="30"/>
    </row>
    <row r="5208" spans="3:5" x14ac:dyDescent="0.4">
      <c r="C5208" s="31"/>
      <c r="E5208" s="30"/>
    </row>
    <row r="5209" spans="3:5" x14ac:dyDescent="0.4">
      <c r="C5209" s="31"/>
      <c r="E5209" s="30"/>
    </row>
    <row r="5210" spans="3:5" x14ac:dyDescent="0.4">
      <c r="C5210" s="31"/>
      <c r="E5210" s="30"/>
    </row>
    <row r="5211" spans="3:5" x14ac:dyDescent="0.4">
      <c r="C5211" s="31"/>
      <c r="E5211" s="30"/>
    </row>
    <row r="5212" spans="3:5" x14ac:dyDescent="0.4">
      <c r="C5212" s="31"/>
      <c r="E5212" s="30"/>
    </row>
    <row r="5213" spans="3:5" x14ac:dyDescent="0.4">
      <c r="C5213" s="31"/>
      <c r="E5213" s="30"/>
    </row>
    <row r="5214" spans="3:5" x14ac:dyDescent="0.4">
      <c r="C5214" s="31"/>
      <c r="E5214" s="30"/>
    </row>
    <row r="5215" spans="3:5" x14ac:dyDescent="0.4">
      <c r="C5215" s="31"/>
      <c r="E5215" s="30"/>
    </row>
    <row r="5216" spans="3:5" x14ac:dyDescent="0.4">
      <c r="C5216" s="31"/>
      <c r="E5216" s="30"/>
    </row>
    <row r="5217" spans="3:5" x14ac:dyDescent="0.4">
      <c r="C5217" s="31"/>
      <c r="E5217" s="30"/>
    </row>
    <row r="5218" spans="3:5" x14ac:dyDescent="0.4">
      <c r="C5218" s="31"/>
      <c r="E5218" s="30"/>
    </row>
    <row r="5219" spans="3:5" x14ac:dyDescent="0.4">
      <c r="C5219" s="31"/>
      <c r="E5219" s="30"/>
    </row>
    <row r="5220" spans="3:5" x14ac:dyDescent="0.4">
      <c r="C5220" s="31"/>
      <c r="E5220" s="30"/>
    </row>
    <row r="5221" spans="3:5" x14ac:dyDescent="0.4">
      <c r="C5221" s="31"/>
      <c r="E5221" s="30"/>
    </row>
    <row r="5222" spans="3:5" x14ac:dyDescent="0.4">
      <c r="C5222" s="31"/>
      <c r="E5222" s="30"/>
    </row>
    <row r="5223" spans="3:5" x14ac:dyDescent="0.4">
      <c r="C5223" s="31"/>
      <c r="E5223" s="30"/>
    </row>
    <row r="5224" spans="3:5" x14ac:dyDescent="0.4">
      <c r="C5224" s="31"/>
      <c r="E5224" s="30"/>
    </row>
    <row r="5225" spans="3:5" x14ac:dyDescent="0.4">
      <c r="C5225" s="31"/>
      <c r="E5225" s="30"/>
    </row>
    <row r="5226" spans="3:5" x14ac:dyDescent="0.4">
      <c r="C5226" s="31"/>
      <c r="E5226" s="30"/>
    </row>
    <row r="5227" spans="3:5" x14ac:dyDescent="0.4">
      <c r="C5227" s="31"/>
      <c r="E5227" s="30"/>
    </row>
    <row r="5228" spans="3:5" x14ac:dyDescent="0.4">
      <c r="C5228" s="31"/>
      <c r="E5228" s="30"/>
    </row>
    <row r="5229" spans="3:5" x14ac:dyDescent="0.4">
      <c r="C5229" s="31"/>
      <c r="E5229" s="30"/>
    </row>
    <row r="5230" spans="3:5" x14ac:dyDescent="0.4">
      <c r="C5230" s="31"/>
      <c r="E5230" s="30"/>
    </row>
    <row r="5231" spans="3:5" x14ac:dyDescent="0.4">
      <c r="C5231" s="31"/>
      <c r="E5231" s="30"/>
    </row>
    <row r="5232" spans="3:5" x14ac:dyDescent="0.4">
      <c r="C5232" s="31"/>
      <c r="E5232" s="30"/>
    </row>
    <row r="5233" spans="3:5" x14ac:dyDescent="0.4">
      <c r="C5233" s="31"/>
      <c r="E5233" s="30"/>
    </row>
    <row r="5234" spans="3:5" x14ac:dyDescent="0.4">
      <c r="C5234" s="31"/>
      <c r="E5234" s="30"/>
    </row>
    <row r="5235" spans="3:5" x14ac:dyDescent="0.4">
      <c r="C5235" s="31"/>
      <c r="E5235" s="30"/>
    </row>
    <row r="5236" spans="3:5" x14ac:dyDescent="0.4">
      <c r="C5236" s="31"/>
      <c r="E5236" s="30"/>
    </row>
    <row r="5237" spans="3:5" x14ac:dyDescent="0.4">
      <c r="C5237" s="31"/>
      <c r="E5237" s="30"/>
    </row>
    <row r="5238" spans="3:5" x14ac:dyDescent="0.4">
      <c r="C5238" s="31"/>
      <c r="E5238" s="30"/>
    </row>
    <row r="5239" spans="3:5" x14ac:dyDescent="0.4">
      <c r="C5239" s="31"/>
      <c r="E5239" s="30"/>
    </row>
    <row r="5240" spans="3:5" x14ac:dyDescent="0.4">
      <c r="C5240" s="31"/>
      <c r="E5240" s="30"/>
    </row>
    <row r="5241" spans="3:5" x14ac:dyDescent="0.4">
      <c r="C5241" s="31"/>
      <c r="E5241" s="30"/>
    </row>
    <row r="5242" spans="3:5" x14ac:dyDescent="0.4">
      <c r="C5242" s="31"/>
      <c r="E5242" s="30"/>
    </row>
    <row r="5243" spans="3:5" x14ac:dyDescent="0.4">
      <c r="C5243" s="31"/>
      <c r="E5243" s="30"/>
    </row>
    <row r="5244" spans="3:5" x14ac:dyDescent="0.4">
      <c r="C5244" s="31"/>
      <c r="E5244" s="30"/>
    </row>
    <row r="5245" spans="3:5" x14ac:dyDescent="0.4">
      <c r="C5245" s="31"/>
      <c r="E5245" s="30"/>
    </row>
    <row r="5246" spans="3:5" x14ac:dyDescent="0.4">
      <c r="C5246" s="31"/>
      <c r="E5246" s="30"/>
    </row>
    <row r="5247" spans="3:5" x14ac:dyDescent="0.4">
      <c r="C5247" s="31"/>
      <c r="E5247" s="30"/>
    </row>
    <row r="5248" spans="3:5" x14ac:dyDescent="0.4">
      <c r="C5248" s="31"/>
      <c r="E5248" s="30"/>
    </row>
    <row r="5249" spans="3:5" x14ac:dyDescent="0.4">
      <c r="C5249" s="31"/>
      <c r="E5249" s="30"/>
    </row>
    <row r="5250" spans="3:5" x14ac:dyDescent="0.4">
      <c r="C5250" s="31"/>
      <c r="E5250" s="30"/>
    </row>
    <row r="5251" spans="3:5" x14ac:dyDescent="0.4">
      <c r="C5251" s="31"/>
      <c r="E5251" s="30"/>
    </row>
    <row r="5252" spans="3:5" x14ac:dyDescent="0.4">
      <c r="C5252" s="31"/>
      <c r="E5252" s="30"/>
    </row>
    <row r="5253" spans="3:5" x14ac:dyDescent="0.4">
      <c r="C5253" s="31"/>
      <c r="E5253" s="30"/>
    </row>
    <row r="5254" spans="3:5" x14ac:dyDescent="0.4">
      <c r="C5254" s="31"/>
      <c r="E5254" s="30"/>
    </row>
    <row r="5255" spans="3:5" x14ac:dyDescent="0.4">
      <c r="C5255" s="31"/>
      <c r="E5255" s="30"/>
    </row>
    <row r="5256" spans="3:5" x14ac:dyDescent="0.4">
      <c r="C5256" s="31"/>
      <c r="E5256" s="30"/>
    </row>
    <row r="5257" spans="3:5" x14ac:dyDescent="0.4">
      <c r="C5257" s="31"/>
      <c r="E5257" s="30"/>
    </row>
    <row r="5258" spans="3:5" x14ac:dyDescent="0.4">
      <c r="C5258" s="31"/>
      <c r="E5258" s="30"/>
    </row>
    <row r="5259" spans="3:5" x14ac:dyDescent="0.4">
      <c r="C5259" s="31"/>
      <c r="E5259" s="30"/>
    </row>
    <row r="5260" spans="3:5" x14ac:dyDescent="0.4">
      <c r="C5260" s="31"/>
      <c r="E5260" s="30"/>
    </row>
    <row r="5261" spans="3:5" x14ac:dyDescent="0.4">
      <c r="C5261" s="31"/>
      <c r="E5261" s="30"/>
    </row>
    <row r="5262" spans="3:5" x14ac:dyDescent="0.4">
      <c r="C5262" s="31"/>
      <c r="E5262" s="30"/>
    </row>
    <row r="5263" spans="3:5" x14ac:dyDescent="0.4">
      <c r="C5263" s="31"/>
      <c r="E5263" s="30"/>
    </row>
    <row r="5264" spans="3:5" x14ac:dyDescent="0.4">
      <c r="C5264" s="31"/>
      <c r="E5264" s="30"/>
    </row>
    <row r="5265" spans="3:5" x14ac:dyDescent="0.4">
      <c r="C5265" s="31"/>
      <c r="E5265" s="30"/>
    </row>
    <row r="5266" spans="3:5" x14ac:dyDescent="0.4">
      <c r="C5266" s="31"/>
      <c r="E5266" s="30"/>
    </row>
    <row r="5267" spans="3:5" x14ac:dyDescent="0.4">
      <c r="C5267" s="31"/>
      <c r="E5267" s="30"/>
    </row>
    <row r="5268" spans="3:5" x14ac:dyDescent="0.4">
      <c r="C5268" s="31"/>
      <c r="E5268" s="30"/>
    </row>
    <row r="5269" spans="3:5" x14ac:dyDescent="0.4">
      <c r="C5269" s="31"/>
      <c r="E5269" s="30"/>
    </row>
    <row r="5270" spans="3:5" x14ac:dyDescent="0.4">
      <c r="C5270" s="31"/>
      <c r="E5270" s="30"/>
    </row>
    <row r="5271" spans="3:5" x14ac:dyDescent="0.4">
      <c r="C5271" s="31"/>
      <c r="E5271" s="30"/>
    </row>
    <row r="5272" spans="3:5" x14ac:dyDescent="0.4">
      <c r="C5272" s="31"/>
      <c r="E5272" s="30"/>
    </row>
    <row r="5273" spans="3:5" x14ac:dyDescent="0.4">
      <c r="C5273" s="31"/>
      <c r="E5273" s="30"/>
    </row>
    <row r="5274" spans="3:5" x14ac:dyDescent="0.4">
      <c r="C5274" s="31"/>
      <c r="E5274" s="30"/>
    </row>
    <row r="5275" spans="3:5" x14ac:dyDescent="0.4">
      <c r="C5275" s="31"/>
      <c r="E5275" s="30"/>
    </row>
    <row r="5276" spans="3:5" x14ac:dyDescent="0.4">
      <c r="C5276" s="31"/>
      <c r="E5276" s="30"/>
    </row>
    <row r="5277" spans="3:5" x14ac:dyDescent="0.4">
      <c r="C5277" s="31"/>
      <c r="E5277" s="30"/>
    </row>
    <row r="5278" spans="3:5" x14ac:dyDescent="0.4">
      <c r="C5278" s="31"/>
      <c r="E5278" s="30"/>
    </row>
    <row r="5279" spans="3:5" x14ac:dyDescent="0.4">
      <c r="C5279" s="31"/>
      <c r="E5279" s="30"/>
    </row>
    <row r="5280" spans="3:5" x14ac:dyDescent="0.4">
      <c r="C5280" s="31"/>
      <c r="E5280" s="30"/>
    </row>
    <row r="5281" spans="3:5" x14ac:dyDescent="0.4">
      <c r="C5281" s="31"/>
      <c r="E5281" s="30"/>
    </row>
    <row r="5282" spans="3:5" x14ac:dyDescent="0.4">
      <c r="C5282" s="31"/>
      <c r="E5282" s="30"/>
    </row>
    <row r="5283" spans="3:5" x14ac:dyDescent="0.4">
      <c r="C5283" s="31"/>
      <c r="E5283" s="30"/>
    </row>
    <row r="5284" spans="3:5" x14ac:dyDescent="0.4">
      <c r="C5284" s="31"/>
      <c r="E5284" s="30"/>
    </row>
    <row r="5285" spans="3:5" x14ac:dyDescent="0.4">
      <c r="C5285" s="31"/>
      <c r="E5285" s="30"/>
    </row>
    <row r="5286" spans="3:5" x14ac:dyDescent="0.4">
      <c r="C5286" s="31"/>
      <c r="E5286" s="30"/>
    </row>
    <row r="5287" spans="3:5" x14ac:dyDescent="0.4">
      <c r="C5287" s="31"/>
      <c r="E5287" s="30"/>
    </row>
    <row r="5288" spans="3:5" x14ac:dyDescent="0.4">
      <c r="C5288" s="31"/>
      <c r="E5288" s="30"/>
    </row>
    <row r="5289" spans="3:5" x14ac:dyDescent="0.4">
      <c r="C5289" s="31"/>
      <c r="E5289" s="30"/>
    </row>
    <row r="5290" spans="3:5" x14ac:dyDescent="0.4">
      <c r="C5290" s="31"/>
      <c r="E5290" s="30"/>
    </row>
    <row r="5291" spans="3:5" x14ac:dyDescent="0.4">
      <c r="C5291" s="31"/>
      <c r="E5291" s="30"/>
    </row>
    <row r="5292" spans="3:5" x14ac:dyDescent="0.4">
      <c r="C5292" s="31"/>
      <c r="E5292" s="30"/>
    </row>
    <row r="5293" spans="3:5" x14ac:dyDescent="0.4">
      <c r="C5293" s="31"/>
      <c r="E5293" s="30"/>
    </row>
    <row r="5294" spans="3:5" x14ac:dyDescent="0.4">
      <c r="C5294" s="31"/>
      <c r="E5294" s="30"/>
    </row>
    <row r="5295" spans="3:5" x14ac:dyDescent="0.4">
      <c r="C5295" s="31"/>
      <c r="E5295" s="30"/>
    </row>
    <row r="5296" spans="3:5" x14ac:dyDescent="0.4">
      <c r="C5296" s="31"/>
      <c r="E5296" s="30"/>
    </row>
    <row r="5297" spans="3:5" x14ac:dyDescent="0.4">
      <c r="C5297" s="31"/>
      <c r="E5297" s="30"/>
    </row>
    <row r="5298" spans="3:5" x14ac:dyDescent="0.4">
      <c r="C5298" s="31"/>
      <c r="E5298" s="30"/>
    </row>
    <row r="5299" spans="3:5" x14ac:dyDescent="0.4">
      <c r="C5299" s="31"/>
      <c r="E5299" s="30"/>
    </row>
    <row r="5300" spans="3:5" x14ac:dyDescent="0.4">
      <c r="C5300" s="31"/>
      <c r="E5300" s="30"/>
    </row>
    <row r="5301" spans="3:5" x14ac:dyDescent="0.4">
      <c r="C5301" s="31"/>
      <c r="E5301" s="30"/>
    </row>
    <row r="5302" spans="3:5" x14ac:dyDescent="0.4">
      <c r="C5302" s="31"/>
      <c r="E5302" s="30"/>
    </row>
    <row r="5303" spans="3:5" x14ac:dyDescent="0.4">
      <c r="C5303" s="31"/>
      <c r="E5303" s="30"/>
    </row>
    <row r="5304" spans="3:5" x14ac:dyDescent="0.4">
      <c r="C5304" s="31"/>
      <c r="E5304" s="30"/>
    </row>
    <row r="5305" spans="3:5" x14ac:dyDescent="0.4">
      <c r="C5305" s="31"/>
      <c r="E5305" s="30"/>
    </row>
    <row r="5306" spans="3:5" x14ac:dyDescent="0.4">
      <c r="C5306" s="31"/>
      <c r="E5306" s="30"/>
    </row>
    <row r="5307" spans="3:5" x14ac:dyDescent="0.4">
      <c r="C5307" s="31"/>
      <c r="E5307" s="30"/>
    </row>
    <row r="5308" spans="3:5" x14ac:dyDescent="0.4">
      <c r="C5308" s="31"/>
      <c r="E5308" s="30"/>
    </row>
    <row r="5309" spans="3:5" x14ac:dyDescent="0.4">
      <c r="C5309" s="31"/>
      <c r="E5309" s="30"/>
    </row>
    <row r="5310" spans="3:5" x14ac:dyDescent="0.4">
      <c r="C5310" s="31"/>
      <c r="E5310" s="30"/>
    </row>
    <row r="5311" spans="3:5" x14ac:dyDescent="0.4">
      <c r="C5311" s="31"/>
      <c r="E5311" s="30"/>
    </row>
    <row r="5312" spans="3:5" x14ac:dyDescent="0.4">
      <c r="C5312" s="31"/>
      <c r="E5312" s="30"/>
    </row>
    <row r="5313" spans="3:5" x14ac:dyDescent="0.4">
      <c r="C5313" s="31"/>
      <c r="E5313" s="30"/>
    </row>
    <row r="5314" spans="3:5" x14ac:dyDescent="0.4">
      <c r="C5314" s="31"/>
      <c r="E5314" s="30"/>
    </row>
    <row r="5315" spans="3:5" x14ac:dyDescent="0.4">
      <c r="C5315" s="31"/>
      <c r="E5315" s="30"/>
    </row>
    <row r="5316" spans="3:5" x14ac:dyDescent="0.4">
      <c r="C5316" s="31"/>
      <c r="E5316" s="30"/>
    </row>
    <row r="5317" spans="3:5" x14ac:dyDescent="0.4">
      <c r="C5317" s="31"/>
      <c r="E5317" s="30"/>
    </row>
    <row r="5318" spans="3:5" x14ac:dyDescent="0.4">
      <c r="C5318" s="31"/>
      <c r="E5318" s="30"/>
    </row>
    <row r="5319" spans="3:5" x14ac:dyDescent="0.4">
      <c r="C5319" s="31"/>
      <c r="E5319" s="30"/>
    </row>
    <row r="5320" spans="3:5" x14ac:dyDescent="0.4">
      <c r="C5320" s="31"/>
      <c r="E5320" s="30"/>
    </row>
    <row r="5321" spans="3:5" x14ac:dyDescent="0.4">
      <c r="C5321" s="31"/>
      <c r="E5321" s="30"/>
    </row>
    <row r="5322" spans="3:5" x14ac:dyDescent="0.4">
      <c r="C5322" s="31"/>
      <c r="E5322" s="30"/>
    </row>
    <row r="5323" spans="3:5" x14ac:dyDescent="0.4">
      <c r="C5323" s="31"/>
      <c r="E5323" s="30"/>
    </row>
    <row r="5324" spans="3:5" x14ac:dyDescent="0.4">
      <c r="C5324" s="31"/>
      <c r="E5324" s="30"/>
    </row>
    <row r="5325" spans="3:5" x14ac:dyDescent="0.4">
      <c r="C5325" s="31"/>
      <c r="E5325" s="30"/>
    </row>
    <row r="5326" spans="3:5" x14ac:dyDescent="0.4">
      <c r="C5326" s="31"/>
      <c r="E5326" s="30"/>
    </row>
    <row r="5327" spans="3:5" x14ac:dyDescent="0.4">
      <c r="C5327" s="31"/>
      <c r="E5327" s="30"/>
    </row>
    <row r="5328" spans="3:5" x14ac:dyDescent="0.4">
      <c r="C5328" s="31"/>
      <c r="E5328" s="30"/>
    </row>
    <row r="5329" spans="3:5" x14ac:dyDescent="0.4">
      <c r="C5329" s="31"/>
      <c r="E5329" s="30"/>
    </row>
    <row r="5330" spans="3:5" x14ac:dyDescent="0.4">
      <c r="C5330" s="31"/>
      <c r="E5330" s="30"/>
    </row>
    <row r="5331" spans="3:5" x14ac:dyDescent="0.4">
      <c r="C5331" s="31"/>
      <c r="E5331" s="30"/>
    </row>
    <row r="5332" spans="3:5" x14ac:dyDescent="0.4">
      <c r="C5332" s="31"/>
      <c r="E5332" s="30"/>
    </row>
    <row r="5333" spans="3:5" x14ac:dyDescent="0.4">
      <c r="C5333" s="31"/>
      <c r="E5333" s="30"/>
    </row>
    <row r="5334" spans="3:5" x14ac:dyDescent="0.4">
      <c r="C5334" s="31"/>
      <c r="E5334" s="30"/>
    </row>
    <row r="5335" spans="3:5" x14ac:dyDescent="0.4">
      <c r="C5335" s="31"/>
      <c r="E5335" s="30"/>
    </row>
    <row r="5336" spans="3:5" x14ac:dyDescent="0.4">
      <c r="C5336" s="31"/>
      <c r="E5336" s="30"/>
    </row>
    <row r="5337" spans="3:5" x14ac:dyDescent="0.4">
      <c r="C5337" s="31"/>
      <c r="E5337" s="30"/>
    </row>
    <row r="5338" spans="3:5" x14ac:dyDescent="0.4">
      <c r="C5338" s="31"/>
      <c r="E5338" s="30"/>
    </row>
    <row r="5339" spans="3:5" x14ac:dyDescent="0.4">
      <c r="C5339" s="31"/>
      <c r="E5339" s="30"/>
    </row>
    <row r="5340" spans="3:5" x14ac:dyDescent="0.4">
      <c r="C5340" s="31"/>
      <c r="E5340" s="30"/>
    </row>
    <row r="5341" spans="3:5" x14ac:dyDescent="0.4">
      <c r="C5341" s="31"/>
      <c r="E5341" s="30"/>
    </row>
    <row r="5342" spans="3:5" x14ac:dyDescent="0.4">
      <c r="C5342" s="31"/>
      <c r="E5342" s="30"/>
    </row>
    <row r="5343" spans="3:5" x14ac:dyDescent="0.4">
      <c r="C5343" s="31"/>
      <c r="E5343" s="30"/>
    </row>
    <row r="5344" spans="3:5" x14ac:dyDescent="0.4">
      <c r="C5344" s="31"/>
      <c r="E5344" s="30"/>
    </row>
    <row r="5345" spans="3:5" x14ac:dyDescent="0.4">
      <c r="C5345" s="31"/>
      <c r="E5345" s="30"/>
    </row>
    <row r="5346" spans="3:5" x14ac:dyDescent="0.4">
      <c r="C5346" s="31"/>
      <c r="E5346" s="30"/>
    </row>
    <row r="5347" spans="3:5" x14ac:dyDescent="0.4">
      <c r="C5347" s="31"/>
      <c r="E5347" s="30"/>
    </row>
    <row r="5348" spans="3:5" x14ac:dyDescent="0.4">
      <c r="C5348" s="31"/>
      <c r="E5348" s="30"/>
    </row>
    <row r="5349" spans="3:5" x14ac:dyDescent="0.4">
      <c r="C5349" s="31"/>
      <c r="E5349" s="30"/>
    </row>
    <row r="5350" spans="3:5" x14ac:dyDescent="0.4">
      <c r="C5350" s="31"/>
      <c r="E5350" s="30"/>
    </row>
    <row r="5351" spans="3:5" x14ac:dyDescent="0.4">
      <c r="C5351" s="31"/>
      <c r="E5351" s="30"/>
    </row>
    <row r="5352" spans="3:5" x14ac:dyDescent="0.4">
      <c r="C5352" s="31"/>
      <c r="E5352" s="30"/>
    </row>
    <row r="5353" spans="3:5" x14ac:dyDescent="0.4">
      <c r="C5353" s="31"/>
      <c r="E5353" s="30"/>
    </row>
    <row r="5354" spans="3:5" x14ac:dyDescent="0.4">
      <c r="C5354" s="31"/>
      <c r="E5354" s="30"/>
    </row>
    <row r="5355" spans="3:5" x14ac:dyDescent="0.4">
      <c r="C5355" s="31"/>
      <c r="E5355" s="30"/>
    </row>
    <row r="5356" spans="3:5" x14ac:dyDescent="0.4">
      <c r="C5356" s="31"/>
      <c r="E5356" s="30"/>
    </row>
    <row r="5357" spans="3:5" x14ac:dyDescent="0.4">
      <c r="C5357" s="31"/>
      <c r="E5357" s="30"/>
    </row>
    <row r="5358" spans="3:5" x14ac:dyDescent="0.4">
      <c r="C5358" s="31"/>
      <c r="E5358" s="30"/>
    </row>
    <row r="5359" spans="3:5" x14ac:dyDescent="0.4">
      <c r="C5359" s="31"/>
      <c r="E5359" s="30"/>
    </row>
    <row r="5360" spans="3:5" x14ac:dyDescent="0.4">
      <c r="C5360" s="31"/>
      <c r="E5360" s="30"/>
    </row>
    <row r="5361" spans="3:5" x14ac:dyDescent="0.4">
      <c r="C5361" s="31"/>
      <c r="E5361" s="30"/>
    </row>
    <row r="5362" spans="3:5" x14ac:dyDescent="0.4">
      <c r="C5362" s="31"/>
      <c r="E5362" s="30"/>
    </row>
    <row r="5363" spans="3:5" x14ac:dyDescent="0.4">
      <c r="C5363" s="31"/>
      <c r="E5363" s="30"/>
    </row>
    <row r="5364" spans="3:5" x14ac:dyDescent="0.4">
      <c r="C5364" s="31"/>
      <c r="E5364" s="30"/>
    </row>
    <row r="5365" spans="3:5" x14ac:dyDescent="0.4">
      <c r="C5365" s="31"/>
      <c r="E5365" s="30"/>
    </row>
    <row r="5366" spans="3:5" x14ac:dyDescent="0.4">
      <c r="C5366" s="31"/>
      <c r="E5366" s="30"/>
    </row>
    <row r="5367" spans="3:5" x14ac:dyDescent="0.4">
      <c r="C5367" s="31"/>
      <c r="E5367" s="30"/>
    </row>
    <row r="5368" spans="3:5" x14ac:dyDescent="0.4">
      <c r="C5368" s="31"/>
      <c r="E5368" s="30"/>
    </row>
    <row r="5369" spans="3:5" x14ac:dyDescent="0.4">
      <c r="C5369" s="31"/>
      <c r="E5369" s="30"/>
    </row>
    <row r="5370" spans="3:5" x14ac:dyDescent="0.4">
      <c r="C5370" s="31"/>
      <c r="E5370" s="30"/>
    </row>
    <row r="5371" spans="3:5" x14ac:dyDescent="0.4">
      <c r="C5371" s="31"/>
      <c r="E5371" s="30"/>
    </row>
    <row r="5372" spans="3:5" x14ac:dyDescent="0.4">
      <c r="C5372" s="31"/>
      <c r="E5372" s="30"/>
    </row>
    <row r="5373" spans="3:5" x14ac:dyDescent="0.4">
      <c r="C5373" s="31"/>
      <c r="E5373" s="30"/>
    </row>
    <row r="5374" spans="3:5" x14ac:dyDescent="0.4">
      <c r="C5374" s="31"/>
      <c r="E5374" s="30"/>
    </row>
    <row r="5375" spans="3:5" x14ac:dyDescent="0.4">
      <c r="C5375" s="31"/>
      <c r="E5375" s="30"/>
    </row>
    <row r="5376" spans="3:5" x14ac:dyDescent="0.4">
      <c r="C5376" s="31"/>
      <c r="E5376" s="30"/>
    </row>
    <row r="5377" spans="3:5" x14ac:dyDescent="0.4">
      <c r="C5377" s="31"/>
      <c r="E5377" s="30"/>
    </row>
    <row r="5378" spans="3:5" x14ac:dyDescent="0.4">
      <c r="C5378" s="31"/>
      <c r="E5378" s="30"/>
    </row>
    <row r="5379" spans="3:5" x14ac:dyDescent="0.4">
      <c r="C5379" s="31"/>
      <c r="E5379" s="30"/>
    </row>
    <row r="5380" spans="3:5" x14ac:dyDescent="0.4">
      <c r="C5380" s="31"/>
      <c r="E5380" s="30"/>
    </row>
    <row r="5381" spans="3:5" x14ac:dyDescent="0.4">
      <c r="C5381" s="31"/>
      <c r="E5381" s="30"/>
    </row>
    <row r="5382" spans="3:5" x14ac:dyDescent="0.4">
      <c r="C5382" s="31"/>
      <c r="E5382" s="30"/>
    </row>
    <row r="5383" spans="3:5" x14ac:dyDescent="0.4">
      <c r="C5383" s="31"/>
      <c r="E5383" s="30"/>
    </row>
    <row r="5384" spans="3:5" x14ac:dyDescent="0.4">
      <c r="C5384" s="31"/>
      <c r="E5384" s="30"/>
    </row>
    <row r="5385" spans="3:5" x14ac:dyDescent="0.4">
      <c r="C5385" s="31"/>
      <c r="E5385" s="30"/>
    </row>
    <row r="5386" spans="3:5" x14ac:dyDescent="0.4">
      <c r="C5386" s="31"/>
      <c r="E5386" s="30"/>
    </row>
    <row r="5387" spans="3:5" x14ac:dyDescent="0.4">
      <c r="C5387" s="31"/>
      <c r="E5387" s="30"/>
    </row>
    <row r="5388" spans="3:5" x14ac:dyDescent="0.4">
      <c r="C5388" s="31"/>
      <c r="E5388" s="30"/>
    </row>
    <row r="5389" spans="3:5" x14ac:dyDescent="0.4">
      <c r="C5389" s="31"/>
      <c r="E5389" s="30"/>
    </row>
    <row r="5390" spans="3:5" x14ac:dyDescent="0.4">
      <c r="C5390" s="31"/>
      <c r="E5390" s="30"/>
    </row>
    <row r="5391" spans="3:5" x14ac:dyDescent="0.4">
      <c r="C5391" s="31"/>
      <c r="E5391" s="30"/>
    </row>
    <row r="5392" spans="3:5" x14ac:dyDescent="0.4">
      <c r="C5392" s="31"/>
      <c r="E5392" s="30"/>
    </row>
    <row r="5393" spans="3:5" x14ac:dyDescent="0.4">
      <c r="C5393" s="31"/>
      <c r="E5393" s="30"/>
    </row>
    <row r="5394" spans="3:5" x14ac:dyDescent="0.4">
      <c r="C5394" s="31"/>
      <c r="E5394" s="30"/>
    </row>
    <row r="5395" spans="3:5" x14ac:dyDescent="0.4">
      <c r="C5395" s="31"/>
      <c r="E5395" s="30"/>
    </row>
    <row r="5396" spans="3:5" x14ac:dyDescent="0.4">
      <c r="C5396" s="31"/>
      <c r="E5396" s="30"/>
    </row>
    <row r="5397" spans="3:5" x14ac:dyDescent="0.4">
      <c r="C5397" s="31"/>
      <c r="E5397" s="30"/>
    </row>
    <row r="5398" spans="3:5" x14ac:dyDescent="0.4">
      <c r="C5398" s="31"/>
      <c r="E5398" s="30"/>
    </row>
    <row r="5399" spans="3:5" x14ac:dyDescent="0.4">
      <c r="C5399" s="31"/>
      <c r="E5399" s="30"/>
    </row>
    <row r="5400" spans="3:5" x14ac:dyDescent="0.4">
      <c r="C5400" s="31"/>
      <c r="E5400" s="30"/>
    </row>
    <row r="5401" spans="3:5" x14ac:dyDescent="0.4">
      <c r="C5401" s="31"/>
      <c r="E5401" s="30"/>
    </row>
    <row r="5402" spans="3:5" x14ac:dyDescent="0.4">
      <c r="C5402" s="31"/>
      <c r="E5402" s="30"/>
    </row>
    <row r="5403" spans="3:5" x14ac:dyDescent="0.4">
      <c r="C5403" s="31"/>
      <c r="E5403" s="30"/>
    </row>
    <row r="5404" spans="3:5" x14ac:dyDescent="0.4">
      <c r="C5404" s="31"/>
      <c r="E5404" s="30"/>
    </row>
    <row r="5405" spans="3:5" x14ac:dyDescent="0.4">
      <c r="C5405" s="31"/>
      <c r="E5405" s="30"/>
    </row>
    <row r="5406" spans="3:5" x14ac:dyDescent="0.4">
      <c r="C5406" s="31"/>
      <c r="E5406" s="30"/>
    </row>
    <row r="5407" spans="3:5" x14ac:dyDescent="0.4">
      <c r="C5407" s="31"/>
      <c r="E5407" s="30"/>
    </row>
    <row r="5408" spans="3:5" x14ac:dyDescent="0.4">
      <c r="C5408" s="31"/>
      <c r="E5408" s="30"/>
    </row>
    <row r="5409" spans="3:5" x14ac:dyDescent="0.4">
      <c r="C5409" s="31"/>
      <c r="E5409" s="30"/>
    </row>
    <row r="5410" spans="3:5" x14ac:dyDescent="0.4">
      <c r="C5410" s="31"/>
      <c r="E5410" s="30"/>
    </row>
    <row r="5411" spans="3:5" x14ac:dyDescent="0.4">
      <c r="C5411" s="31"/>
      <c r="E5411" s="30"/>
    </row>
    <row r="5412" spans="3:5" x14ac:dyDescent="0.4">
      <c r="C5412" s="31"/>
      <c r="E5412" s="30"/>
    </row>
    <row r="5413" spans="3:5" x14ac:dyDescent="0.4">
      <c r="C5413" s="31"/>
      <c r="E5413" s="30"/>
    </row>
    <row r="5414" spans="3:5" x14ac:dyDescent="0.4">
      <c r="C5414" s="31"/>
      <c r="E5414" s="30"/>
    </row>
    <row r="5415" spans="3:5" x14ac:dyDescent="0.4">
      <c r="C5415" s="31"/>
      <c r="E5415" s="30"/>
    </row>
    <row r="5416" spans="3:5" x14ac:dyDescent="0.4">
      <c r="C5416" s="31"/>
      <c r="E5416" s="30"/>
    </row>
    <row r="5417" spans="3:5" x14ac:dyDescent="0.4">
      <c r="C5417" s="31"/>
      <c r="E5417" s="30"/>
    </row>
    <row r="5418" spans="3:5" x14ac:dyDescent="0.4">
      <c r="C5418" s="31"/>
      <c r="E5418" s="30"/>
    </row>
    <row r="5419" spans="3:5" x14ac:dyDescent="0.4">
      <c r="C5419" s="31"/>
      <c r="E5419" s="30"/>
    </row>
    <row r="5420" spans="3:5" x14ac:dyDescent="0.4">
      <c r="C5420" s="31"/>
      <c r="E5420" s="30"/>
    </row>
    <row r="5421" spans="3:5" x14ac:dyDescent="0.4">
      <c r="C5421" s="31"/>
      <c r="E5421" s="30"/>
    </row>
    <row r="5422" spans="3:5" x14ac:dyDescent="0.4">
      <c r="C5422" s="31"/>
      <c r="E5422" s="30"/>
    </row>
    <row r="5423" spans="3:5" x14ac:dyDescent="0.4">
      <c r="C5423" s="31"/>
      <c r="E5423" s="30"/>
    </row>
    <row r="5424" spans="3:5" x14ac:dyDescent="0.4">
      <c r="C5424" s="31"/>
      <c r="E5424" s="30"/>
    </row>
    <row r="5425" spans="3:5" x14ac:dyDescent="0.4">
      <c r="C5425" s="31"/>
      <c r="E5425" s="30"/>
    </row>
    <row r="5426" spans="3:5" x14ac:dyDescent="0.4">
      <c r="C5426" s="31"/>
      <c r="E5426" s="30"/>
    </row>
    <row r="5427" spans="3:5" x14ac:dyDescent="0.4">
      <c r="C5427" s="31"/>
      <c r="E5427" s="30"/>
    </row>
    <row r="5428" spans="3:5" x14ac:dyDescent="0.4">
      <c r="C5428" s="31"/>
      <c r="E5428" s="30"/>
    </row>
    <row r="5429" spans="3:5" x14ac:dyDescent="0.4">
      <c r="C5429" s="31"/>
      <c r="E5429" s="30"/>
    </row>
    <row r="5430" spans="3:5" x14ac:dyDescent="0.4">
      <c r="C5430" s="31"/>
      <c r="E5430" s="30"/>
    </row>
    <row r="5431" spans="3:5" x14ac:dyDescent="0.4">
      <c r="C5431" s="31"/>
      <c r="E5431" s="30"/>
    </row>
    <row r="5432" spans="3:5" x14ac:dyDescent="0.4">
      <c r="C5432" s="31"/>
      <c r="E5432" s="30"/>
    </row>
    <row r="5433" spans="3:5" x14ac:dyDescent="0.4">
      <c r="C5433" s="31"/>
      <c r="E5433" s="30"/>
    </row>
    <row r="5434" spans="3:5" x14ac:dyDescent="0.4">
      <c r="C5434" s="31"/>
      <c r="E5434" s="30"/>
    </row>
    <row r="5435" spans="3:5" x14ac:dyDescent="0.4">
      <c r="C5435" s="31"/>
      <c r="E5435" s="30"/>
    </row>
    <row r="5436" spans="3:5" x14ac:dyDescent="0.4">
      <c r="C5436" s="31"/>
      <c r="E5436" s="30"/>
    </row>
    <row r="5437" spans="3:5" x14ac:dyDescent="0.4">
      <c r="C5437" s="31"/>
      <c r="E5437" s="30"/>
    </row>
    <row r="5438" spans="3:5" x14ac:dyDescent="0.4">
      <c r="C5438" s="31"/>
      <c r="E5438" s="30"/>
    </row>
    <row r="5439" spans="3:5" x14ac:dyDescent="0.4">
      <c r="C5439" s="31"/>
      <c r="E5439" s="30"/>
    </row>
    <row r="5440" spans="3:5" x14ac:dyDescent="0.4">
      <c r="C5440" s="31"/>
      <c r="E5440" s="30"/>
    </row>
    <row r="5441" spans="3:5" x14ac:dyDescent="0.4">
      <c r="C5441" s="31"/>
      <c r="E5441" s="30"/>
    </row>
    <row r="5442" spans="3:5" x14ac:dyDescent="0.4">
      <c r="C5442" s="31"/>
      <c r="E5442" s="30"/>
    </row>
    <row r="5443" spans="3:5" x14ac:dyDescent="0.4">
      <c r="C5443" s="31"/>
      <c r="E5443" s="30"/>
    </row>
    <row r="5444" spans="3:5" x14ac:dyDescent="0.4">
      <c r="C5444" s="31"/>
      <c r="E5444" s="30"/>
    </row>
    <row r="5445" spans="3:5" x14ac:dyDescent="0.4">
      <c r="C5445" s="31"/>
      <c r="E5445" s="30"/>
    </row>
    <row r="5446" spans="3:5" x14ac:dyDescent="0.4">
      <c r="C5446" s="31"/>
      <c r="E5446" s="30"/>
    </row>
    <row r="5447" spans="3:5" x14ac:dyDescent="0.4">
      <c r="C5447" s="31"/>
      <c r="E5447" s="30"/>
    </row>
    <row r="5448" spans="3:5" x14ac:dyDescent="0.4">
      <c r="C5448" s="31"/>
      <c r="E5448" s="30"/>
    </row>
    <row r="5449" spans="3:5" x14ac:dyDescent="0.4">
      <c r="C5449" s="31"/>
      <c r="E5449" s="30"/>
    </row>
    <row r="5450" spans="3:5" x14ac:dyDescent="0.4">
      <c r="C5450" s="31"/>
      <c r="E5450" s="30"/>
    </row>
    <row r="5451" spans="3:5" x14ac:dyDescent="0.4">
      <c r="C5451" s="31"/>
      <c r="E5451" s="30"/>
    </row>
    <row r="5452" spans="3:5" x14ac:dyDescent="0.4">
      <c r="C5452" s="31"/>
      <c r="E5452" s="30"/>
    </row>
    <row r="5453" spans="3:5" x14ac:dyDescent="0.4">
      <c r="C5453" s="31"/>
      <c r="E5453" s="30"/>
    </row>
    <row r="5454" spans="3:5" x14ac:dyDescent="0.4">
      <c r="C5454" s="31"/>
      <c r="E5454" s="30"/>
    </row>
    <row r="5455" spans="3:5" x14ac:dyDescent="0.4">
      <c r="C5455" s="31"/>
      <c r="E5455" s="30"/>
    </row>
    <row r="5456" spans="3:5" x14ac:dyDescent="0.4">
      <c r="C5456" s="31"/>
      <c r="E5456" s="30"/>
    </row>
    <row r="5457" spans="3:5" x14ac:dyDescent="0.4">
      <c r="C5457" s="31"/>
      <c r="E5457" s="30"/>
    </row>
    <row r="5458" spans="3:5" x14ac:dyDescent="0.4">
      <c r="C5458" s="31"/>
      <c r="E5458" s="30"/>
    </row>
    <row r="5459" spans="3:5" x14ac:dyDescent="0.4">
      <c r="C5459" s="31"/>
      <c r="E5459" s="30"/>
    </row>
    <row r="5460" spans="3:5" x14ac:dyDescent="0.4">
      <c r="C5460" s="31"/>
      <c r="E5460" s="30"/>
    </row>
    <row r="5461" spans="3:5" x14ac:dyDescent="0.4">
      <c r="C5461" s="31"/>
      <c r="E5461" s="30"/>
    </row>
    <row r="5462" spans="3:5" x14ac:dyDescent="0.4">
      <c r="C5462" s="31"/>
      <c r="E5462" s="30"/>
    </row>
    <row r="5463" spans="3:5" x14ac:dyDescent="0.4">
      <c r="C5463" s="31"/>
      <c r="E5463" s="30"/>
    </row>
    <row r="5464" spans="3:5" x14ac:dyDescent="0.4">
      <c r="C5464" s="31"/>
      <c r="E5464" s="30"/>
    </row>
    <row r="5465" spans="3:5" x14ac:dyDescent="0.4">
      <c r="C5465" s="31"/>
      <c r="E5465" s="30"/>
    </row>
    <row r="5466" spans="3:5" x14ac:dyDescent="0.4">
      <c r="C5466" s="31"/>
      <c r="E5466" s="30"/>
    </row>
    <row r="5467" spans="3:5" x14ac:dyDescent="0.4">
      <c r="C5467" s="31"/>
      <c r="E5467" s="30"/>
    </row>
    <row r="5468" spans="3:5" x14ac:dyDescent="0.4">
      <c r="C5468" s="31"/>
      <c r="E5468" s="30"/>
    </row>
    <row r="5469" spans="3:5" x14ac:dyDescent="0.4">
      <c r="C5469" s="31"/>
      <c r="E5469" s="30"/>
    </row>
    <row r="5470" spans="3:5" x14ac:dyDescent="0.4">
      <c r="C5470" s="31"/>
      <c r="E5470" s="30"/>
    </row>
    <row r="5471" spans="3:5" x14ac:dyDescent="0.4">
      <c r="C5471" s="31"/>
      <c r="E5471" s="30"/>
    </row>
    <row r="5472" spans="3:5" x14ac:dyDescent="0.4">
      <c r="C5472" s="31"/>
      <c r="E5472" s="30"/>
    </row>
    <row r="5473" spans="3:5" x14ac:dyDescent="0.4">
      <c r="C5473" s="31"/>
      <c r="E5473" s="30"/>
    </row>
    <row r="5474" spans="3:5" x14ac:dyDescent="0.4">
      <c r="C5474" s="31"/>
      <c r="E5474" s="30"/>
    </row>
    <row r="5475" spans="3:5" x14ac:dyDescent="0.4">
      <c r="C5475" s="31"/>
      <c r="E5475" s="30"/>
    </row>
    <row r="5476" spans="3:5" x14ac:dyDescent="0.4">
      <c r="C5476" s="31"/>
      <c r="E5476" s="30"/>
    </row>
    <row r="5477" spans="3:5" x14ac:dyDescent="0.4">
      <c r="C5477" s="31"/>
      <c r="E5477" s="30"/>
    </row>
    <row r="5478" spans="3:5" x14ac:dyDescent="0.4">
      <c r="C5478" s="31"/>
      <c r="E5478" s="30"/>
    </row>
    <row r="5479" spans="3:5" x14ac:dyDescent="0.4">
      <c r="C5479" s="31"/>
      <c r="E5479" s="30"/>
    </row>
    <row r="5480" spans="3:5" x14ac:dyDescent="0.4">
      <c r="C5480" s="31"/>
      <c r="E5480" s="30"/>
    </row>
    <row r="5481" spans="3:5" x14ac:dyDescent="0.4">
      <c r="C5481" s="31"/>
      <c r="E5481" s="30"/>
    </row>
    <row r="5482" spans="3:5" x14ac:dyDescent="0.4">
      <c r="C5482" s="31"/>
      <c r="E5482" s="30"/>
    </row>
    <row r="5483" spans="3:5" x14ac:dyDescent="0.4">
      <c r="C5483" s="31"/>
      <c r="E5483" s="30"/>
    </row>
    <row r="5484" spans="3:5" x14ac:dyDescent="0.4">
      <c r="C5484" s="31"/>
      <c r="E5484" s="30"/>
    </row>
    <row r="5485" spans="3:5" x14ac:dyDescent="0.4">
      <c r="C5485" s="31"/>
      <c r="E5485" s="30"/>
    </row>
    <row r="5486" spans="3:5" x14ac:dyDescent="0.4">
      <c r="C5486" s="31"/>
      <c r="E5486" s="30"/>
    </row>
    <row r="5487" spans="3:5" x14ac:dyDescent="0.4">
      <c r="C5487" s="31"/>
      <c r="E5487" s="30"/>
    </row>
    <row r="5488" spans="3:5" x14ac:dyDescent="0.4">
      <c r="C5488" s="31"/>
      <c r="E5488" s="30"/>
    </row>
    <row r="5489" spans="3:5" x14ac:dyDescent="0.4">
      <c r="C5489" s="31"/>
      <c r="E5489" s="30"/>
    </row>
    <row r="5490" spans="3:5" x14ac:dyDescent="0.4">
      <c r="C5490" s="31"/>
      <c r="E5490" s="30"/>
    </row>
    <row r="5491" spans="3:5" x14ac:dyDescent="0.4">
      <c r="C5491" s="31"/>
      <c r="E5491" s="30"/>
    </row>
    <row r="5492" spans="3:5" x14ac:dyDescent="0.4">
      <c r="C5492" s="31"/>
      <c r="E5492" s="30"/>
    </row>
    <row r="5493" spans="3:5" x14ac:dyDescent="0.4">
      <c r="C5493" s="31"/>
      <c r="E5493" s="30"/>
    </row>
    <row r="5494" spans="3:5" x14ac:dyDescent="0.4">
      <c r="C5494" s="31"/>
      <c r="E5494" s="30"/>
    </row>
    <row r="5495" spans="3:5" x14ac:dyDescent="0.4">
      <c r="C5495" s="31"/>
      <c r="E5495" s="30"/>
    </row>
    <row r="5496" spans="3:5" x14ac:dyDescent="0.4">
      <c r="C5496" s="31"/>
      <c r="E5496" s="30"/>
    </row>
    <row r="5497" spans="3:5" x14ac:dyDescent="0.4">
      <c r="C5497" s="31"/>
      <c r="E5497" s="30"/>
    </row>
    <row r="5498" spans="3:5" x14ac:dyDescent="0.4">
      <c r="C5498" s="31"/>
      <c r="E5498" s="30"/>
    </row>
    <row r="5499" spans="3:5" x14ac:dyDescent="0.4">
      <c r="C5499" s="31"/>
      <c r="E5499" s="30"/>
    </row>
    <row r="5500" spans="3:5" x14ac:dyDescent="0.4">
      <c r="C5500" s="31"/>
      <c r="E5500" s="30"/>
    </row>
    <row r="5501" spans="3:5" x14ac:dyDescent="0.4">
      <c r="C5501" s="31"/>
      <c r="E5501" s="30"/>
    </row>
    <row r="5502" spans="3:5" x14ac:dyDescent="0.4">
      <c r="C5502" s="31"/>
      <c r="E5502" s="30"/>
    </row>
    <row r="5503" spans="3:5" x14ac:dyDescent="0.4">
      <c r="C5503" s="31"/>
      <c r="E5503" s="30"/>
    </row>
    <row r="5504" spans="3:5" x14ac:dyDescent="0.4">
      <c r="C5504" s="31"/>
      <c r="E5504" s="30"/>
    </row>
    <row r="5505" spans="3:5" x14ac:dyDescent="0.4">
      <c r="C5505" s="31"/>
      <c r="E5505" s="30"/>
    </row>
    <row r="5506" spans="3:5" x14ac:dyDescent="0.4">
      <c r="C5506" s="31"/>
      <c r="E5506" s="30"/>
    </row>
    <row r="5507" spans="3:5" x14ac:dyDescent="0.4">
      <c r="C5507" s="31"/>
      <c r="E5507" s="30"/>
    </row>
    <row r="5508" spans="3:5" x14ac:dyDescent="0.4">
      <c r="C5508" s="31"/>
      <c r="E5508" s="30"/>
    </row>
    <row r="5509" spans="3:5" x14ac:dyDescent="0.4">
      <c r="C5509" s="31"/>
      <c r="E5509" s="30"/>
    </row>
    <row r="5510" spans="3:5" x14ac:dyDescent="0.4">
      <c r="C5510" s="31"/>
      <c r="E5510" s="30"/>
    </row>
    <row r="5511" spans="3:5" x14ac:dyDescent="0.4">
      <c r="C5511" s="31"/>
      <c r="E5511" s="30"/>
    </row>
    <row r="5512" spans="3:5" x14ac:dyDescent="0.4">
      <c r="C5512" s="31"/>
      <c r="E5512" s="30"/>
    </row>
    <row r="5513" spans="3:5" x14ac:dyDescent="0.4">
      <c r="C5513" s="31"/>
      <c r="E5513" s="30"/>
    </row>
    <row r="5514" spans="3:5" x14ac:dyDescent="0.4">
      <c r="C5514" s="31"/>
      <c r="E5514" s="30"/>
    </row>
    <row r="5515" spans="3:5" x14ac:dyDescent="0.4">
      <c r="C5515" s="31"/>
      <c r="E5515" s="30"/>
    </row>
    <row r="5516" spans="3:5" x14ac:dyDescent="0.4">
      <c r="C5516" s="31"/>
      <c r="E5516" s="30"/>
    </row>
    <row r="5517" spans="3:5" x14ac:dyDescent="0.4">
      <c r="C5517" s="31"/>
      <c r="E5517" s="30"/>
    </row>
    <row r="5518" spans="3:5" x14ac:dyDescent="0.4">
      <c r="C5518" s="31"/>
      <c r="E5518" s="30"/>
    </row>
    <row r="5519" spans="3:5" x14ac:dyDescent="0.4">
      <c r="C5519" s="31"/>
      <c r="E5519" s="30"/>
    </row>
    <row r="5520" spans="3:5" x14ac:dyDescent="0.4">
      <c r="C5520" s="31"/>
      <c r="E5520" s="30"/>
    </row>
    <row r="5521" spans="3:5" x14ac:dyDescent="0.4">
      <c r="C5521" s="31"/>
      <c r="E5521" s="30"/>
    </row>
    <row r="5522" spans="3:5" x14ac:dyDescent="0.4">
      <c r="C5522" s="31"/>
      <c r="E5522" s="30"/>
    </row>
    <row r="5523" spans="3:5" x14ac:dyDescent="0.4">
      <c r="C5523" s="31"/>
      <c r="E5523" s="30"/>
    </row>
    <row r="5524" spans="3:5" x14ac:dyDescent="0.4">
      <c r="C5524" s="31"/>
      <c r="E5524" s="30"/>
    </row>
    <row r="5525" spans="3:5" x14ac:dyDescent="0.4">
      <c r="C5525" s="31"/>
      <c r="E5525" s="30"/>
    </row>
    <row r="5526" spans="3:5" x14ac:dyDescent="0.4">
      <c r="C5526" s="31"/>
      <c r="E5526" s="30"/>
    </row>
    <row r="5527" spans="3:5" x14ac:dyDescent="0.4">
      <c r="C5527" s="31"/>
      <c r="E5527" s="30"/>
    </row>
    <row r="5528" spans="3:5" x14ac:dyDescent="0.4">
      <c r="C5528" s="31"/>
      <c r="E5528" s="30"/>
    </row>
    <row r="5529" spans="3:5" x14ac:dyDescent="0.4">
      <c r="C5529" s="31"/>
      <c r="E5529" s="30"/>
    </row>
    <row r="5530" spans="3:5" x14ac:dyDescent="0.4">
      <c r="C5530" s="31"/>
      <c r="E5530" s="30"/>
    </row>
    <row r="5531" spans="3:5" x14ac:dyDescent="0.4">
      <c r="C5531" s="31"/>
      <c r="E5531" s="30"/>
    </row>
    <row r="5532" spans="3:5" x14ac:dyDescent="0.4">
      <c r="C5532" s="31"/>
      <c r="E5532" s="30"/>
    </row>
    <row r="5533" spans="3:5" x14ac:dyDescent="0.4">
      <c r="C5533" s="31"/>
      <c r="E5533" s="30"/>
    </row>
    <row r="5534" spans="3:5" x14ac:dyDescent="0.4">
      <c r="C5534" s="31"/>
      <c r="E5534" s="30"/>
    </row>
    <row r="5535" spans="3:5" x14ac:dyDescent="0.4">
      <c r="C5535" s="31"/>
      <c r="E5535" s="30"/>
    </row>
    <row r="5536" spans="3:5" x14ac:dyDescent="0.4">
      <c r="C5536" s="31"/>
      <c r="E5536" s="30"/>
    </row>
    <row r="5537" spans="3:5" x14ac:dyDescent="0.4">
      <c r="C5537" s="31"/>
      <c r="E5537" s="30"/>
    </row>
    <row r="5538" spans="3:5" x14ac:dyDescent="0.4">
      <c r="C5538" s="31"/>
      <c r="E5538" s="30"/>
    </row>
    <row r="5539" spans="3:5" x14ac:dyDescent="0.4">
      <c r="C5539" s="31"/>
      <c r="E5539" s="30"/>
    </row>
    <row r="5540" spans="3:5" x14ac:dyDescent="0.4">
      <c r="C5540" s="31"/>
      <c r="E5540" s="30"/>
    </row>
    <row r="5541" spans="3:5" x14ac:dyDescent="0.4">
      <c r="C5541" s="31"/>
      <c r="E5541" s="30"/>
    </row>
    <row r="5542" spans="3:5" x14ac:dyDescent="0.4">
      <c r="C5542" s="31"/>
      <c r="E5542" s="30"/>
    </row>
    <row r="5543" spans="3:5" x14ac:dyDescent="0.4">
      <c r="C5543" s="31"/>
      <c r="E5543" s="30"/>
    </row>
    <row r="5544" spans="3:5" x14ac:dyDescent="0.4">
      <c r="C5544" s="31"/>
      <c r="E5544" s="30"/>
    </row>
    <row r="5545" spans="3:5" x14ac:dyDescent="0.4">
      <c r="C5545" s="31"/>
      <c r="E5545" s="30"/>
    </row>
    <row r="5546" spans="3:5" x14ac:dyDescent="0.4">
      <c r="C5546" s="31"/>
      <c r="E5546" s="30"/>
    </row>
    <row r="5547" spans="3:5" x14ac:dyDescent="0.4">
      <c r="C5547" s="31"/>
      <c r="E5547" s="30"/>
    </row>
    <row r="5548" spans="3:5" x14ac:dyDescent="0.4">
      <c r="C5548" s="31"/>
      <c r="E5548" s="30"/>
    </row>
    <row r="5549" spans="3:5" x14ac:dyDescent="0.4">
      <c r="C5549" s="31"/>
      <c r="E5549" s="30"/>
    </row>
    <row r="5550" spans="3:5" x14ac:dyDescent="0.4">
      <c r="C5550" s="31"/>
      <c r="E5550" s="30"/>
    </row>
    <row r="5551" spans="3:5" x14ac:dyDescent="0.4">
      <c r="C5551" s="31"/>
      <c r="E5551" s="30"/>
    </row>
    <row r="5552" spans="3:5" x14ac:dyDescent="0.4">
      <c r="C5552" s="31"/>
      <c r="E5552" s="30"/>
    </row>
    <row r="5553" spans="3:5" x14ac:dyDescent="0.4">
      <c r="C5553" s="31"/>
      <c r="E5553" s="30"/>
    </row>
    <row r="5554" spans="3:5" x14ac:dyDescent="0.4">
      <c r="C5554" s="31"/>
      <c r="E5554" s="30"/>
    </row>
    <row r="5555" spans="3:5" x14ac:dyDescent="0.4">
      <c r="C5555" s="31"/>
      <c r="E5555" s="30"/>
    </row>
    <row r="5556" spans="3:5" x14ac:dyDescent="0.4">
      <c r="C5556" s="31"/>
      <c r="E5556" s="30"/>
    </row>
    <row r="5557" spans="3:5" x14ac:dyDescent="0.4">
      <c r="C5557" s="31"/>
      <c r="E5557" s="30"/>
    </row>
    <row r="5558" spans="3:5" x14ac:dyDescent="0.4">
      <c r="C5558" s="31"/>
      <c r="E5558" s="30"/>
    </row>
    <row r="5559" spans="3:5" x14ac:dyDescent="0.4">
      <c r="C5559" s="31"/>
      <c r="E5559" s="30"/>
    </row>
    <row r="5560" spans="3:5" x14ac:dyDescent="0.4">
      <c r="C5560" s="31"/>
      <c r="E5560" s="30"/>
    </row>
    <row r="5561" spans="3:5" x14ac:dyDescent="0.4">
      <c r="C5561" s="31"/>
      <c r="E5561" s="30"/>
    </row>
    <row r="5562" spans="3:5" x14ac:dyDescent="0.4">
      <c r="C5562" s="31"/>
      <c r="E5562" s="30"/>
    </row>
    <row r="5563" spans="3:5" x14ac:dyDescent="0.4">
      <c r="C5563" s="31"/>
      <c r="E5563" s="30"/>
    </row>
    <row r="5564" spans="3:5" x14ac:dyDescent="0.4">
      <c r="C5564" s="31"/>
      <c r="E5564" s="30"/>
    </row>
    <row r="5565" spans="3:5" x14ac:dyDescent="0.4">
      <c r="C5565" s="31"/>
      <c r="E5565" s="30"/>
    </row>
    <row r="5566" spans="3:5" x14ac:dyDescent="0.4">
      <c r="C5566" s="31"/>
      <c r="E5566" s="30"/>
    </row>
    <row r="5567" spans="3:5" x14ac:dyDescent="0.4">
      <c r="C5567" s="31"/>
      <c r="E5567" s="30"/>
    </row>
    <row r="5568" spans="3:5" x14ac:dyDescent="0.4">
      <c r="C5568" s="31"/>
      <c r="E5568" s="30"/>
    </row>
    <row r="5569" spans="3:5" x14ac:dyDescent="0.4">
      <c r="C5569" s="31"/>
      <c r="E5569" s="30"/>
    </row>
    <row r="5570" spans="3:5" x14ac:dyDescent="0.4">
      <c r="C5570" s="31"/>
      <c r="E5570" s="30"/>
    </row>
    <row r="5571" spans="3:5" x14ac:dyDescent="0.4">
      <c r="C5571" s="31"/>
      <c r="E5571" s="30"/>
    </row>
    <row r="5572" spans="3:5" x14ac:dyDescent="0.4">
      <c r="C5572" s="31"/>
      <c r="E5572" s="30"/>
    </row>
    <row r="5573" spans="3:5" x14ac:dyDescent="0.4">
      <c r="C5573" s="31"/>
      <c r="E5573" s="30"/>
    </row>
    <row r="5574" spans="3:5" x14ac:dyDescent="0.4">
      <c r="C5574" s="31"/>
      <c r="E5574" s="30"/>
    </row>
    <row r="5575" spans="3:5" x14ac:dyDescent="0.4">
      <c r="C5575" s="31"/>
      <c r="E5575" s="30"/>
    </row>
    <row r="5576" spans="3:5" x14ac:dyDescent="0.4">
      <c r="C5576" s="31"/>
      <c r="E5576" s="30"/>
    </row>
    <row r="5577" spans="3:5" x14ac:dyDescent="0.4">
      <c r="C5577" s="31"/>
      <c r="E5577" s="30"/>
    </row>
    <row r="5578" spans="3:5" x14ac:dyDescent="0.4">
      <c r="C5578" s="31"/>
      <c r="E5578" s="30"/>
    </row>
    <row r="5579" spans="3:5" x14ac:dyDescent="0.4">
      <c r="C5579" s="31"/>
      <c r="E5579" s="30"/>
    </row>
    <row r="5580" spans="3:5" x14ac:dyDescent="0.4">
      <c r="C5580" s="31"/>
      <c r="E5580" s="30"/>
    </row>
    <row r="5581" spans="3:5" x14ac:dyDescent="0.4">
      <c r="C5581" s="31"/>
      <c r="E5581" s="30"/>
    </row>
    <row r="5582" spans="3:5" x14ac:dyDescent="0.4">
      <c r="C5582" s="31"/>
      <c r="E5582" s="30"/>
    </row>
    <row r="5583" spans="3:5" x14ac:dyDescent="0.4">
      <c r="C5583" s="31"/>
      <c r="E5583" s="30"/>
    </row>
    <row r="5584" spans="3:5" x14ac:dyDescent="0.4">
      <c r="C5584" s="31"/>
      <c r="E5584" s="30"/>
    </row>
    <row r="5585" spans="3:5" x14ac:dyDescent="0.4">
      <c r="C5585" s="31"/>
      <c r="E5585" s="30"/>
    </row>
    <row r="5586" spans="3:5" x14ac:dyDescent="0.4">
      <c r="C5586" s="31"/>
      <c r="E5586" s="30"/>
    </row>
    <row r="5587" spans="3:5" x14ac:dyDescent="0.4">
      <c r="C5587" s="31"/>
      <c r="E5587" s="30"/>
    </row>
    <row r="5588" spans="3:5" x14ac:dyDescent="0.4">
      <c r="C5588" s="31"/>
      <c r="E5588" s="30"/>
    </row>
    <row r="5589" spans="3:5" x14ac:dyDescent="0.4">
      <c r="C5589" s="31"/>
      <c r="E5589" s="30"/>
    </row>
    <row r="5590" spans="3:5" x14ac:dyDescent="0.4">
      <c r="C5590" s="31"/>
      <c r="E5590" s="30"/>
    </row>
    <row r="5591" spans="3:5" x14ac:dyDescent="0.4">
      <c r="C5591" s="31"/>
      <c r="E5591" s="30"/>
    </row>
    <row r="5592" spans="3:5" x14ac:dyDescent="0.4">
      <c r="C5592" s="31"/>
      <c r="E5592" s="30"/>
    </row>
    <row r="5593" spans="3:5" x14ac:dyDescent="0.4">
      <c r="C5593" s="31"/>
      <c r="E5593" s="30"/>
    </row>
    <row r="5594" spans="3:5" x14ac:dyDescent="0.4">
      <c r="C5594" s="31"/>
      <c r="E5594" s="30"/>
    </row>
    <row r="5595" spans="3:5" x14ac:dyDescent="0.4">
      <c r="C5595" s="31"/>
      <c r="E5595" s="30"/>
    </row>
    <row r="5596" spans="3:5" x14ac:dyDescent="0.4">
      <c r="C5596" s="31"/>
      <c r="E5596" s="30"/>
    </row>
    <row r="5597" spans="3:5" x14ac:dyDescent="0.4">
      <c r="C5597" s="31"/>
      <c r="E5597" s="30"/>
    </row>
    <row r="5598" spans="3:5" x14ac:dyDescent="0.4">
      <c r="C5598" s="31"/>
      <c r="E5598" s="30"/>
    </row>
    <row r="5599" spans="3:5" x14ac:dyDescent="0.4">
      <c r="C5599" s="31"/>
      <c r="E5599" s="30"/>
    </row>
    <row r="5600" spans="3:5" x14ac:dyDescent="0.4">
      <c r="C5600" s="31"/>
      <c r="E5600" s="30"/>
    </row>
    <row r="5601" spans="3:7" x14ac:dyDescent="0.4">
      <c r="C5601" s="31"/>
      <c r="E5601" s="30"/>
    </row>
    <row r="5602" spans="3:7" x14ac:dyDescent="0.4">
      <c r="C5602" s="31"/>
      <c r="E5602" s="30"/>
    </row>
    <row r="5603" spans="3:7" x14ac:dyDescent="0.4">
      <c r="C5603" s="31"/>
      <c r="E5603" s="30"/>
    </row>
    <row r="5604" spans="3:7" x14ac:dyDescent="0.4">
      <c r="C5604" s="31"/>
      <c r="E5604" s="30"/>
    </row>
    <row r="5605" spans="3:7" x14ac:dyDescent="0.4">
      <c r="C5605" s="31"/>
      <c r="E5605" s="30"/>
    </row>
    <row r="5606" spans="3:7" x14ac:dyDescent="0.4">
      <c r="C5606" s="31"/>
      <c r="E5606" s="30"/>
    </row>
    <row r="5607" spans="3:7" x14ac:dyDescent="0.4">
      <c r="C5607" s="31"/>
      <c r="E5607" s="30"/>
    </row>
    <row r="5608" spans="3:7" x14ac:dyDescent="0.4">
      <c r="C5608" s="31"/>
      <c r="E5608" s="30"/>
    </row>
    <row r="5609" spans="3:7" x14ac:dyDescent="0.4">
      <c r="C5609" s="31"/>
      <c r="E5609" s="30"/>
    </row>
    <row r="5610" spans="3:7" x14ac:dyDescent="0.4">
      <c r="C5610" s="31"/>
      <c r="E5610" s="30"/>
    </row>
    <row r="5611" spans="3:7" x14ac:dyDescent="0.4">
      <c r="C5611" s="31"/>
      <c r="E5611" s="30"/>
    </row>
    <row r="5612" spans="3:7" x14ac:dyDescent="0.4">
      <c r="C5612" s="31"/>
      <c r="E5612" s="30"/>
    </row>
    <row r="5613" spans="3:7" x14ac:dyDescent="0.4">
      <c r="C5613" s="31"/>
      <c r="E5613" s="30"/>
    </row>
    <row r="5614" spans="3:7" x14ac:dyDescent="0.4">
      <c r="C5614" s="31"/>
      <c r="E5614" s="30"/>
    </row>
    <row r="5615" spans="3:7" x14ac:dyDescent="0.4">
      <c r="C5615" s="31"/>
      <c r="E5615" s="30"/>
      <c r="G5615" s="30"/>
    </row>
    <row r="5616" spans="3:7" x14ac:dyDescent="0.4">
      <c r="C5616" s="31"/>
      <c r="E5616" s="30"/>
    </row>
    <row r="5617" spans="2:5" x14ac:dyDescent="0.4">
      <c r="B5617" s="4" t="s">
        <v>13</v>
      </c>
      <c r="C5617" s="31">
        <v>41883</v>
      </c>
      <c r="D5617" s="4" t="s">
        <v>4</v>
      </c>
      <c r="E5617" s="30">
        <v>16800</v>
      </c>
    </row>
    <row r="5618" spans="2:5" x14ac:dyDescent="0.4">
      <c r="B5618" s="4" t="s">
        <v>13</v>
      </c>
      <c r="C5618" s="31">
        <v>41974</v>
      </c>
      <c r="D5618" s="4" t="s">
        <v>4</v>
      </c>
      <c r="E5618" s="30">
        <v>2600</v>
      </c>
    </row>
    <row r="5619" spans="2:5" x14ac:dyDescent="0.4">
      <c r="B5619" s="4" t="s">
        <v>13</v>
      </c>
      <c r="C5619" s="31">
        <v>42064</v>
      </c>
      <c r="D5619" s="4" t="s">
        <v>4</v>
      </c>
      <c r="E5619" s="30">
        <v>10000</v>
      </c>
    </row>
    <row r="5620" spans="2:5" x14ac:dyDescent="0.4">
      <c r="B5620" s="4" t="s">
        <v>13</v>
      </c>
      <c r="C5620" s="31">
        <v>42156</v>
      </c>
      <c r="D5620" s="4" t="s">
        <v>4</v>
      </c>
      <c r="E5620" s="30">
        <v>28600</v>
      </c>
    </row>
    <row r="5621" spans="2:5" x14ac:dyDescent="0.4">
      <c r="B5621" s="4" t="s">
        <v>13</v>
      </c>
      <c r="C5621" s="31">
        <v>42248</v>
      </c>
      <c r="D5621" s="4" t="s">
        <v>4</v>
      </c>
      <c r="E5621" s="30">
        <v>18000</v>
      </c>
    </row>
    <row r="5622" spans="2:5" x14ac:dyDescent="0.4">
      <c r="B5622" s="4" t="s">
        <v>13</v>
      </c>
      <c r="C5622" s="31">
        <v>42339</v>
      </c>
      <c r="D5622" s="4" t="s">
        <v>4</v>
      </c>
      <c r="E5622" s="30">
        <v>5000</v>
      </c>
    </row>
    <row r="5623" spans="2:5" x14ac:dyDescent="0.4">
      <c r="B5623" s="4" t="s">
        <v>13</v>
      </c>
      <c r="C5623" s="31">
        <v>42430</v>
      </c>
      <c r="D5623" s="4" t="s">
        <v>4</v>
      </c>
      <c r="E5623" s="30">
        <v>12000</v>
      </c>
    </row>
    <row r="5624" spans="2:5" x14ac:dyDescent="0.4">
      <c r="B5624" s="4" t="s">
        <v>13</v>
      </c>
      <c r="C5624" s="31">
        <v>42522</v>
      </c>
      <c r="D5624" s="4" t="s">
        <v>4</v>
      </c>
      <c r="E5624" s="30">
        <v>3400</v>
      </c>
    </row>
    <row r="5625" spans="2:5" x14ac:dyDescent="0.4">
      <c r="B5625" s="4" t="s">
        <v>13</v>
      </c>
      <c r="C5625" s="31">
        <v>42614</v>
      </c>
      <c r="D5625" s="4" t="s">
        <v>4</v>
      </c>
      <c r="E5625" s="30">
        <v>3400</v>
      </c>
    </row>
    <row r="5626" spans="2:5" x14ac:dyDescent="0.4">
      <c r="B5626" s="4" t="s">
        <v>13</v>
      </c>
      <c r="C5626" s="31">
        <v>42705</v>
      </c>
      <c r="D5626" s="4" t="s">
        <v>4</v>
      </c>
      <c r="E5626" s="30">
        <v>3000</v>
      </c>
    </row>
    <row r="5627" spans="2:5" x14ac:dyDescent="0.4">
      <c r="B5627" s="4" t="s">
        <v>13</v>
      </c>
      <c r="C5627" s="31">
        <v>42795</v>
      </c>
      <c r="D5627" s="4" t="s">
        <v>4</v>
      </c>
      <c r="E5627" s="30">
        <v>3000</v>
      </c>
    </row>
    <row r="5628" spans="2:5" x14ac:dyDescent="0.4">
      <c r="B5628" s="4" t="s">
        <v>13</v>
      </c>
      <c r="C5628" s="31">
        <v>42887</v>
      </c>
      <c r="D5628" s="4" t="s">
        <v>4</v>
      </c>
      <c r="E5628" s="30">
        <v>7000</v>
      </c>
    </row>
    <row r="5629" spans="2:5" x14ac:dyDescent="0.4">
      <c r="B5629" s="4" t="s">
        <v>13</v>
      </c>
      <c r="C5629" s="31">
        <v>42979</v>
      </c>
      <c r="D5629" s="4" t="s">
        <v>4</v>
      </c>
      <c r="E5629" s="30">
        <v>8500</v>
      </c>
    </row>
    <row r="5630" spans="2:5" x14ac:dyDescent="0.4">
      <c r="B5630" s="4" t="s">
        <v>13</v>
      </c>
      <c r="C5630" s="31">
        <v>41883</v>
      </c>
      <c r="D5630" s="4" t="s">
        <v>5</v>
      </c>
      <c r="E5630" s="30">
        <v>16800</v>
      </c>
    </row>
    <row r="5631" spans="2:5" x14ac:dyDescent="0.4">
      <c r="B5631" s="4" t="s">
        <v>13</v>
      </c>
      <c r="C5631" s="31">
        <v>41974</v>
      </c>
      <c r="D5631" s="4" t="s">
        <v>5</v>
      </c>
      <c r="E5631" s="30">
        <v>2600</v>
      </c>
    </row>
    <row r="5632" spans="2:5" x14ac:dyDescent="0.4">
      <c r="B5632" s="4" t="s">
        <v>13</v>
      </c>
      <c r="C5632" s="31">
        <v>42064</v>
      </c>
      <c r="D5632" s="4" t="s">
        <v>5</v>
      </c>
      <c r="E5632" s="30">
        <v>10000</v>
      </c>
    </row>
    <row r="5633" spans="2:5" x14ac:dyDescent="0.4">
      <c r="B5633" s="4" t="s">
        <v>13</v>
      </c>
      <c r="C5633" s="31">
        <v>42156</v>
      </c>
      <c r="D5633" s="4" t="s">
        <v>5</v>
      </c>
      <c r="E5633" s="30">
        <v>28600</v>
      </c>
    </row>
    <row r="5634" spans="2:5" x14ac:dyDescent="0.4">
      <c r="B5634" s="4" t="s">
        <v>13</v>
      </c>
      <c r="C5634" s="31">
        <v>42248</v>
      </c>
      <c r="D5634" s="4" t="s">
        <v>5</v>
      </c>
      <c r="E5634" s="30">
        <v>18000</v>
      </c>
    </row>
    <row r="5635" spans="2:5" x14ac:dyDescent="0.4">
      <c r="B5635" s="4" t="s">
        <v>13</v>
      </c>
      <c r="C5635" s="31">
        <v>42339</v>
      </c>
      <c r="D5635" s="4" t="s">
        <v>5</v>
      </c>
      <c r="E5635" s="30">
        <v>5000</v>
      </c>
    </row>
    <row r="5636" spans="2:5" x14ac:dyDescent="0.4">
      <c r="B5636" s="4" t="s">
        <v>13</v>
      </c>
      <c r="C5636" s="31">
        <v>42430</v>
      </c>
      <c r="D5636" s="4" t="s">
        <v>5</v>
      </c>
      <c r="E5636" s="30">
        <v>12000</v>
      </c>
    </row>
    <row r="5637" spans="2:5" x14ac:dyDescent="0.4">
      <c r="B5637" s="4" t="s">
        <v>13</v>
      </c>
      <c r="C5637" s="31">
        <v>42522</v>
      </c>
      <c r="D5637" s="4" t="s">
        <v>5</v>
      </c>
      <c r="E5637" s="30">
        <v>3400</v>
      </c>
    </row>
    <row r="5638" spans="2:5" x14ac:dyDescent="0.4">
      <c r="B5638" s="4" t="s">
        <v>13</v>
      </c>
      <c r="C5638" s="31">
        <v>42614</v>
      </c>
      <c r="D5638" s="4" t="s">
        <v>5</v>
      </c>
      <c r="E5638" s="30">
        <v>3400</v>
      </c>
    </row>
    <row r="5639" spans="2:5" x14ac:dyDescent="0.4">
      <c r="B5639" s="4" t="s">
        <v>13</v>
      </c>
      <c r="C5639" s="31">
        <v>42705</v>
      </c>
      <c r="D5639" s="4" t="s">
        <v>5</v>
      </c>
      <c r="E5639" s="30">
        <v>3000</v>
      </c>
    </row>
    <row r="5640" spans="2:5" x14ac:dyDescent="0.4">
      <c r="B5640" s="4" t="s">
        <v>13</v>
      </c>
      <c r="C5640" s="31">
        <v>42795</v>
      </c>
      <c r="D5640" s="4" t="s">
        <v>5</v>
      </c>
      <c r="E5640" s="30">
        <v>3000</v>
      </c>
    </row>
    <row r="5641" spans="2:5" x14ac:dyDescent="0.4">
      <c r="B5641" s="4" t="s">
        <v>13</v>
      </c>
      <c r="C5641" s="31">
        <v>42887</v>
      </c>
      <c r="D5641" s="4" t="s">
        <v>5</v>
      </c>
      <c r="E5641" s="30">
        <v>7000</v>
      </c>
    </row>
    <row r="5642" spans="2:5" x14ac:dyDescent="0.4">
      <c r="B5642" s="4" t="s">
        <v>13</v>
      </c>
      <c r="C5642" s="31">
        <v>42979</v>
      </c>
      <c r="D5642" s="4" t="s">
        <v>5</v>
      </c>
      <c r="E5642" s="30">
        <v>8500</v>
      </c>
    </row>
    <row r="5643" spans="2:5" x14ac:dyDescent="0.4">
      <c r="B5643" s="4" t="s">
        <v>13</v>
      </c>
      <c r="C5643" s="31">
        <v>41883</v>
      </c>
      <c r="D5643" s="4" t="s">
        <v>2</v>
      </c>
      <c r="E5643" s="30">
        <v>14969.53</v>
      </c>
    </row>
    <row r="5644" spans="2:5" x14ac:dyDescent="0.4">
      <c r="B5644" s="4" t="s">
        <v>13</v>
      </c>
      <c r="C5644" s="31">
        <v>41974</v>
      </c>
      <c r="D5644" s="4" t="s">
        <v>2</v>
      </c>
      <c r="E5644" s="30">
        <v>1489.28</v>
      </c>
    </row>
    <row r="5645" spans="2:5" x14ac:dyDescent="0.4">
      <c r="B5645" s="4" t="s">
        <v>13</v>
      </c>
      <c r="C5645" s="31">
        <v>42156</v>
      </c>
      <c r="D5645" s="4" t="s">
        <v>2</v>
      </c>
      <c r="E5645" s="30">
        <v>1611.09</v>
      </c>
    </row>
    <row r="5646" spans="2:5" x14ac:dyDescent="0.4">
      <c r="B5646" s="4" t="s">
        <v>13</v>
      </c>
      <c r="C5646" s="31">
        <v>42248</v>
      </c>
      <c r="D5646" s="4" t="s">
        <v>2</v>
      </c>
      <c r="E5646" s="30">
        <v>19048.009999999998</v>
      </c>
    </row>
    <row r="5647" spans="2:5" x14ac:dyDescent="0.4">
      <c r="B5647" s="4" t="s">
        <v>13</v>
      </c>
      <c r="C5647" s="31">
        <v>42430</v>
      </c>
      <c r="D5647" s="4" t="s">
        <v>2</v>
      </c>
      <c r="E5647" s="30">
        <v>200</v>
      </c>
    </row>
    <row r="5648" spans="2:5" x14ac:dyDescent="0.4">
      <c r="B5648" s="4" t="s">
        <v>13</v>
      </c>
      <c r="C5648" s="31">
        <v>42522</v>
      </c>
      <c r="D5648" s="4" t="s">
        <v>2</v>
      </c>
      <c r="E5648" s="30">
        <v>100</v>
      </c>
    </row>
    <row r="5649" spans="2:5" x14ac:dyDescent="0.4">
      <c r="B5649" s="4" t="s">
        <v>13</v>
      </c>
      <c r="C5649" s="31">
        <v>42614</v>
      </c>
      <c r="D5649" s="4" t="s">
        <v>2</v>
      </c>
      <c r="E5649" s="30">
        <v>150</v>
      </c>
    </row>
    <row r="5650" spans="2:5" x14ac:dyDescent="0.4">
      <c r="B5650" s="4" t="s">
        <v>13</v>
      </c>
      <c r="C5650" s="31">
        <v>42887</v>
      </c>
      <c r="D5650" s="4" t="s">
        <v>2</v>
      </c>
      <c r="E5650" s="30">
        <v>150</v>
      </c>
    </row>
    <row r="5651" spans="2:5" x14ac:dyDescent="0.4">
      <c r="B5651" s="4" t="s">
        <v>13</v>
      </c>
      <c r="C5651" s="31">
        <v>42979</v>
      </c>
      <c r="D5651" s="4" t="s">
        <v>2</v>
      </c>
      <c r="E5651" s="30">
        <v>2133.2199999999998</v>
      </c>
    </row>
    <row r="5652" spans="2:5" x14ac:dyDescent="0.4">
      <c r="B5652" s="4" t="s">
        <v>13</v>
      </c>
      <c r="C5652" s="31">
        <v>41883</v>
      </c>
      <c r="D5652" s="4" t="s">
        <v>6</v>
      </c>
      <c r="E5652" s="30">
        <v>14969.53</v>
      </c>
    </row>
    <row r="5653" spans="2:5" x14ac:dyDescent="0.4">
      <c r="B5653" s="4" t="s">
        <v>13</v>
      </c>
      <c r="C5653" s="31">
        <v>41974</v>
      </c>
      <c r="D5653" s="4" t="s">
        <v>6</v>
      </c>
      <c r="E5653" s="30">
        <v>1489.28</v>
      </c>
    </row>
    <row r="5654" spans="2:5" x14ac:dyDescent="0.4">
      <c r="B5654" s="4" t="s">
        <v>13</v>
      </c>
      <c r="C5654" s="31">
        <v>42156</v>
      </c>
      <c r="D5654" s="4" t="s">
        <v>6</v>
      </c>
      <c r="E5654" s="30">
        <v>1611.09</v>
      </c>
    </row>
    <row r="5655" spans="2:5" x14ac:dyDescent="0.4">
      <c r="B5655" s="4" t="s">
        <v>13</v>
      </c>
      <c r="C5655" s="31">
        <v>42248</v>
      </c>
      <c r="D5655" s="4" t="s">
        <v>6</v>
      </c>
      <c r="E5655" s="30">
        <v>19048.009999999998</v>
      </c>
    </row>
    <row r="5656" spans="2:5" x14ac:dyDescent="0.4">
      <c r="B5656" s="4" t="s">
        <v>13</v>
      </c>
      <c r="C5656" s="31">
        <v>42430</v>
      </c>
      <c r="D5656" s="4" t="s">
        <v>6</v>
      </c>
      <c r="E5656" s="30">
        <v>200</v>
      </c>
    </row>
    <row r="5657" spans="2:5" x14ac:dyDescent="0.4">
      <c r="B5657" s="4" t="s">
        <v>13</v>
      </c>
      <c r="C5657" s="31">
        <v>42522</v>
      </c>
      <c r="D5657" s="4" t="s">
        <v>6</v>
      </c>
      <c r="E5657" s="30">
        <v>100</v>
      </c>
    </row>
    <row r="5658" spans="2:5" x14ac:dyDescent="0.4">
      <c r="B5658" s="4" t="s">
        <v>13</v>
      </c>
      <c r="C5658" s="31">
        <v>42614</v>
      </c>
      <c r="D5658" s="4" t="s">
        <v>6</v>
      </c>
      <c r="E5658" s="30">
        <v>150</v>
      </c>
    </row>
    <row r="5659" spans="2:5" x14ac:dyDescent="0.4">
      <c r="B5659" s="4" t="s">
        <v>13</v>
      </c>
      <c r="C5659" s="31">
        <v>42887</v>
      </c>
      <c r="D5659" s="4" t="s">
        <v>6</v>
      </c>
      <c r="E5659" s="30">
        <v>150</v>
      </c>
    </row>
    <row r="5660" spans="2:5" x14ac:dyDescent="0.4">
      <c r="B5660" s="4" t="s">
        <v>13</v>
      </c>
      <c r="C5660" s="31">
        <v>42979</v>
      </c>
      <c r="D5660" s="4" t="s">
        <v>6</v>
      </c>
      <c r="E5660" s="30">
        <v>2133.2199999999998</v>
      </c>
    </row>
    <row r="5661" spans="2:5" x14ac:dyDescent="0.4">
      <c r="B5661" s="4" t="s">
        <v>13</v>
      </c>
      <c r="C5661" s="31">
        <v>42430</v>
      </c>
      <c r="D5661" s="4" t="s">
        <v>1</v>
      </c>
      <c r="E5661" s="30">
        <v>-11307.68</v>
      </c>
    </row>
    <row r="5662" spans="2:5" x14ac:dyDescent="0.4">
      <c r="B5662" s="4" t="s">
        <v>13</v>
      </c>
      <c r="C5662" s="31">
        <v>42887</v>
      </c>
      <c r="D5662" s="4" t="s">
        <v>1</v>
      </c>
      <c r="E5662" s="30">
        <v>-4188.97</v>
      </c>
    </row>
    <row r="5663" spans="2:5" x14ac:dyDescent="0.4">
      <c r="B5663" s="4" t="s">
        <v>13</v>
      </c>
      <c r="C5663" s="31">
        <v>42979</v>
      </c>
      <c r="D5663" s="4" t="s">
        <v>1</v>
      </c>
      <c r="E5663" s="30">
        <v>4188.97</v>
      </c>
    </row>
    <row r="5664" spans="2:5" x14ac:dyDescent="0.4">
      <c r="B5664" s="4" t="s">
        <v>13</v>
      </c>
      <c r="C5664" s="31">
        <v>42430</v>
      </c>
      <c r="D5664" s="4" t="s">
        <v>7</v>
      </c>
      <c r="E5664" s="30">
        <v>-11307.68</v>
      </c>
    </row>
    <row r="5665" spans="2:5" x14ac:dyDescent="0.4">
      <c r="B5665" s="4" t="s">
        <v>13</v>
      </c>
      <c r="C5665" s="31">
        <v>42887</v>
      </c>
      <c r="D5665" s="4" t="s">
        <v>7</v>
      </c>
      <c r="E5665" s="30">
        <v>-4188.97</v>
      </c>
    </row>
    <row r="5666" spans="2:5" x14ac:dyDescent="0.4">
      <c r="B5666" s="4" t="s">
        <v>13</v>
      </c>
      <c r="C5666" s="31">
        <v>42979</v>
      </c>
      <c r="D5666" s="4" t="s">
        <v>7</v>
      </c>
      <c r="E5666" s="30">
        <v>4188.97</v>
      </c>
    </row>
    <row r="5667" spans="2:5" x14ac:dyDescent="0.4">
      <c r="B5667" s="4" t="s">
        <v>13</v>
      </c>
      <c r="C5667" s="31">
        <v>41883</v>
      </c>
      <c r="D5667" s="4" t="s">
        <v>8</v>
      </c>
      <c r="E5667" s="30">
        <v>36750</v>
      </c>
    </row>
    <row r="5668" spans="2:5" x14ac:dyDescent="0.4">
      <c r="B5668" s="4" t="s">
        <v>13</v>
      </c>
      <c r="C5668" s="31">
        <v>41974</v>
      </c>
      <c r="D5668" s="4" t="s">
        <v>8</v>
      </c>
      <c r="E5668" s="30">
        <v>38511.050000000003</v>
      </c>
    </row>
    <row r="5669" spans="2:5" x14ac:dyDescent="0.4">
      <c r="B5669" s="4" t="s">
        <v>13</v>
      </c>
      <c r="C5669" s="31">
        <v>42064</v>
      </c>
      <c r="D5669" s="4" t="s">
        <v>8</v>
      </c>
      <c r="E5669" s="30">
        <v>12527.72</v>
      </c>
    </row>
    <row r="5670" spans="2:5" x14ac:dyDescent="0.4">
      <c r="B5670" s="4" t="s">
        <v>13</v>
      </c>
      <c r="C5670" s="31">
        <v>42156</v>
      </c>
      <c r="D5670" s="4" t="s">
        <v>8</v>
      </c>
      <c r="E5670" s="30">
        <v>-145409.81</v>
      </c>
    </row>
    <row r="5671" spans="2:5" x14ac:dyDescent="0.4">
      <c r="B5671" s="4" t="s">
        <v>13</v>
      </c>
      <c r="C5671" s="31">
        <v>42248</v>
      </c>
      <c r="D5671" s="4" t="s">
        <v>8</v>
      </c>
      <c r="E5671" s="30">
        <v>-2091.15</v>
      </c>
    </row>
    <row r="5672" spans="2:5" x14ac:dyDescent="0.4">
      <c r="B5672" s="4" t="s">
        <v>13</v>
      </c>
      <c r="C5672" s="31">
        <v>41883</v>
      </c>
      <c r="D5672" s="4" t="s">
        <v>9</v>
      </c>
      <c r="E5672" s="30">
        <v>36750</v>
      </c>
    </row>
    <row r="5673" spans="2:5" x14ac:dyDescent="0.4">
      <c r="B5673" s="4" t="s">
        <v>13</v>
      </c>
      <c r="C5673" s="31">
        <v>41974</v>
      </c>
      <c r="D5673" s="4" t="s">
        <v>9</v>
      </c>
      <c r="E5673" s="30">
        <v>38511.050000000003</v>
      </c>
    </row>
    <row r="5674" spans="2:5" x14ac:dyDescent="0.4">
      <c r="B5674" s="4" t="s">
        <v>13</v>
      </c>
      <c r="C5674" s="31">
        <v>42064</v>
      </c>
      <c r="D5674" s="4" t="s">
        <v>9</v>
      </c>
      <c r="E5674" s="30">
        <v>12527.72</v>
      </c>
    </row>
    <row r="5675" spans="2:5" x14ac:dyDescent="0.4">
      <c r="B5675" s="4" t="s">
        <v>13</v>
      </c>
      <c r="C5675" s="31">
        <v>42156</v>
      </c>
      <c r="D5675" s="4" t="s">
        <v>9</v>
      </c>
      <c r="E5675" s="30">
        <v>-145409.81</v>
      </c>
    </row>
    <row r="5676" spans="2:5" x14ac:dyDescent="0.4">
      <c r="B5676" s="4" t="s">
        <v>13</v>
      </c>
      <c r="C5676" s="31">
        <v>42248</v>
      </c>
      <c r="D5676" s="4" t="s">
        <v>9</v>
      </c>
      <c r="E5676" s="30">
        <v>-2091.15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Srce</vt:lpstr>
      <vt:lpstr>Dest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Hinkle</dc:creator>
  <cp:lastModifiedBy>Ryan Hinkle</cp:lastModifiedBy>
  <dcterms:created xsi:type="dcterms:W3CDTF">2018-02-12T09:53:48Z</dcterms:created>
  <dcterms:modified xsi:type="dcterms:W3CDTF">2018-03-29T10:22:29Z</dcterms:modified>
</cp:coreProperties>
</file>